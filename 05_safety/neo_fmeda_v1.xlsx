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FMEDA_core" sheetId="2" state="visible" r:id="rId4"/>
    <sheet name="Metrics" sheetId="3" state="visible" r:id="rId5"/>
    <sheet name="Chip_rollup" sheetId="4" state="visible" r:id="rId6"/>
    <sheet name="Evide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<sst xmlns="http://schemas.openxmlformats.org/spreadsheetml/2006/main" count="350" uniqueCount="268">
  <si>
    <t xml:space="preserve">AstraCore Neo FMEDA skeleton, drop 0.3 (2026-10-04). Blue cells are inputs; yellow cells are assumptions to be replaced by foundry base-failure-rate and soft-error data (ISO 26262-11, SN 29500 or IEC 62380) before the phase-1 FMEDA v1.</t>
  </si>
  <si>
    <t xml:space="preserve">Parameter</t>
  </si>
  <si>
    <t xml:space="preserve">Value</t>
  </si>
  <si>
    <t xml:space="preserve">Unit</t>
  </si>
  <si>
    <t xml:space="preserve">Source / note</t>
  </si>
  <si>
    <t xml:space="preserve">Die permanent base failure rate (whole 210 mm² die)</t>
  </si>
  <si>
    <t xml:space="preserve">FIT</t>
  </si>
  <si>
    <t xml:space="preserve">Assumption, order of magnitude for a large N5-class automotive die; replace with foundry data</t>
  </si>
  <si>
    <t xml:space="preserve">Die area</t>
  </si>
  <si>
    <t xml:space="preserve">mm²</t>
  </si>
  <si>
    <t xml:space="preserve">Spec v2.0 physical estimate</t>
  </si>
  <si>
    <t xml:space="preserve">MAC core area incl. buffers (one core)</t>
  </si>
  <si>
    <t xml:space="preserve">30 mm² for 64 cores from the die estimate</t>
  </si>
  <si>
    <t xml:space="preserve">SRAM soft-error rate</t>
  </si>
  <si>
    <t xml:space="preserve">FIT/Mbit</t>
  </si>
  <si>
    <t xml:space="preserve">Assumption; replace with foundry SER at ground level, Grade 2 mission profile</t>
  </si>
  <si>
    <t xml:space="preserve">Flip-flop soft-error rate</t>
  </si>
  <si>
    <t xml:space="preserve">Assumption; replace with foundry SER</t>
  </si>
  <si>
    <t xml:space="preserve">Accumulator SRAM per core</t>
  </si>
  <si>
    <t xml:space="preserve">Mbit</t>
  </si>
  <si>
    <t xml:space="preserve">512 rows × 32 columns × 32 bit = 64 KB</t>
  </si>
  <si>
    <t xml:space="preserve">Activation buffer SRAM per core</t>
  </si>
  <si>
    <t xml:space="preserve">4096 pixels × 32 channels × 8 bit = 32 KB</t>
  </si>
  <si>
    <t xml:space="preserve">Weight registers per core (active + shadow)</t>
  </si>
  <si>
    <t xml:space="preserve">2 × 1056 PEs × 8.3 bit average incl. check column</t>
  </si>
  <si>
    <t xml:space="preserve">Pipeline and control flops per core</t>
  </si>
  <si>
    <t xml:space="preserve">x/psum/token registers, skew and deskew, feeder, accumulator read registers</t>
  </si>
  <si>
    <t xml:space="preserve">Mission lifetime</t>
  </si>
  <si>
    <t xml:space="preserve">h</t>
  </si>
  <si>
    <t xml:space="preserve">15 years × 8,760 h; vehicle operating hours are lower, kept conservative</t>
  </si>
  <si>
    <t xml:space="preserve">ASIL-B(D) target SPFM</t>
  </si>
  <si>
    <t xml:space="preserve">ISO 26262-5 Table 4</t>
  </si>
  <si>
    <t xml:space="preserve">ASIL-B(D) target LFM</t>
  </si>
  <si>
    <t xml:space="preserve">ISO 26262-5 Table 5</t>
  </si>
  <si>
    <t xml:space="preserve">ASIL-B(D) target PMHF</t>
  </si>
  <si>
    <t xml:space="preserve">ISO 26262-5 Table 6</t>
  </si>
  <si>
    <t xml:space="preserve">ASIL-D target SPFM</t>
  </si>
  <si>
    <t xml:space="preserve">ASIL-D target LFM</t>
  </si>
  <si>
    <t xml:space="preserve">ASIL-D target PMHF</t>
  </si>
  <si>
    <t xml:space="preserve">Derived (formulas)</t>
  </si>
  <si>
    <t xml:space="preserve">Permanent failure rate of one MAC core</t>
  </si>
  <si>
    <t xml:space="preserve">Transient failure rate, accumulator SRAM</t>
  </si>
  <si>
    <t xml:space="preserve">Transient failure rate, activation buffer SRAM</t>
  </si>
  <si>
    <t xml:space="preserve">Transient failure rate, weight registers</t>
  </si>
  <si>
    <t xml:space="preserve">Transient failure rate, pipeline and control flops</t>
  </si>
  <si>
    <t xml:space="preserve">Legend: blue = input you may edit; yellow = assumption to replace with sourced data; black = formula. Edit only blue cells.</t>
  </si>
  <si>
    <t xml:space="preserve">FMEDA v1 (drop 0.13), one MAC core (neo_mac_core_v02) as a safety element out of context. Safety goal assumed: no undetected wrong inference result leaves the core within the FTTI. Rows marked 'today' describe the v0.2 RTL; rows marked 'planned' name the mechanism the architecture commits to.</t>
  </si>
  <si>
    <t xml:space="preserve">Block</t>
  </si>
  <si>
    <t xml:space="preserve">Failure mode</t>
  </si>
  <si>
    <t xml:space="preserve">Fault type</t>
  </si>
  <si>
    <t xml:space="preserve">λ (FIT)</t>
  </si>
  <si>
    <t xml:space="preserve">Safety related (1/0)</t>
  </si>
  <si>
    <t xml:space="preserve">FMD (fraction)</t>
  </si>
  <si>
    <t xml:space="preserve">SPF-relevant: violates SG alone (1/0)</t>
  </si>
  <si>
    <t xml:space="preserve">Safety mechanism against violation</t>
  </si>
  <si>
    <t xml:space="preserve">DC_RF</t>
  </si>
  <si>
    <t xml:space="preserve">λ_SPF/RF (FIT)</t>
  </si>
  <si>
    <t xml:space="preserve">MPF-relevant: latent if undetected (1/0)</t>
  </si>
  <si>
    <t xml:space="preserve">Latent-fault mechanism</t>
  </si>
  <si>
    <t xml:space="preserve">DC_L</t>
  </si>
  <si>
    <t xml:space="preserve">λ_MPF,L (FIT)</t>
  </si>
  <si>
    <t xml:space="preserve">Status / evidence</t>
  </si>
  <si>
    <t xml:space="preserve">PE array datapath (1,056 MACs)</t>
  </si>
  <si>
    <t xml:space="preserve">Wrong product or sum, single-point</t>
  </si>
  <si>
    <t xml:space="preserve">permanent</t>
  </si>
  <si>
    <t xml:space="preserve">ABFT check column: any single-point error in a row flips the row equality</t>
  </si>
  <si>
    <t xml:space="preserve">n/a (detected faults lead to safe state)</t>
  </si>
  <si>
    <t xml:space="preserve">v1: proven on RTL (T2, T3, C1-C10, K2, M-tests); self-test of the checker proven through registers (M8)</t>
  </si>
  <si>
    <t xml:space="preserve">Dual faults that cancel in the checksum</t>
  </si>
  <si>
    <t xml:space="preserve">Periodic in-field LBIST of the core</t>
  </si>
  <si>
    <t xml:space="preserve">n/a</t>
  </si>
  <si>
    <t xml:space="preserve">v1: LBIST is tool-inserted (Modus) and remains the one item with no RTL proof; the island carries the hooks and the FTTI-windowed schedule (M8 watchdog/self-test)</t>
  </si>
  <si>
    <t xml:space="preserve">Weight registers (active + shadow)</t>
  </si>
  <si>
    <t xml:space="preserve">Bit flip in a stored weight</t>
  </si>
  <si>
    <t xml:space="preserve">transient</t>
  </si>
  <si>
    <t xml:space="preserve">ABFT (corrupted weight flags every row) and reload per tile</t>
  </si>
  <si>
    <t xml:space="preserve">today: proven (T4 weight bit-flip)</t>
  </si>
  <si>
    <t xml:space="preserve">Stuck bit in a weight register</t>
  </si>
  <si>
    <t xml:space="preserve">ABFT</t>
  </si>
  <si>
    <t xml:space="preserve">today: proven by construction (same mechanism as T4)</t>
  </si>
  <si>
    <t xml:space="preserve">x / psum / token chains, skew, deskew</t>
  </si>
  <si>
    <t xml:space="preserve">Bit flip in a pipeline register</t>
  </si>
  <si>
    <t xml:space="preserve">ABFT for data chains; token/valid parity</t>
  </si>
  <si>
    <t xml:space="preserve">v1: ABFT proven; token/valid rule is an SVA property (dv/sva) for formal; parity on valid/token stays a fault-simulation item</t>
  </si>
  <si>
    <t xml:space="preserve">Stuck pipeline register</t>
  </si>
  <si>
    <t xml:space="preserve">ABFT; LBIST</t>
  </si>
  <si>
    <t xml:space="preserve">v1: ABFT covers data (T2-T4); control is covered by the sequencer lockstep (C7) and the self-test (M8); LBIST see row 2</t>
  </si>
  <si>
    <t xml:space="preserve">ABFT checker (array output)</t>
  </si>
  <si>
    <t xml:space="preserve">Stuck at 'no error' (false negative)</t>
  </si>
  <si>
    <t xml:space="preserve">none needed alone (does not violate SG by itself)</t>
  </si>
  <si>
    <t xml:space="preserve">Periodic self-test: inject one known fault per FTTI via the fault hook, expect a flag</t>
  </si>
  <si>
    <t xml:space="preserve">planned: fault hook kept as a test feature, sequenced by the safety island</t>
  </si>
  <si>
    <t xml:space="preserve">False positive (spurious error)</t>
  </si>
  <si>
    <t xml:space="preserve">safe failure: leads to safe state</t>
  </si>
  <si>
    <t xml:space="preserve">safe failure mode</t>
  </si>
  <si>
    <t xml:space="preserve">Accumulator SRAM (64 KB)</t>
  </si>
  <si>
    <t xml:space="preserve">Single-bit upset</t>
  </si>
  <si>
    <t xml:space="preserve">SECDED ECC (correct) and ABFT at drain (independent detection)</t>
  </si>
  <si>
    <t xml:space="preserve">v1: ABFT at drain proven (C4); accumulator ECC not implemented: ABFT at drain detects any single-row corruption, so ECC would add correction, not detection</t>
  </si>
  <si>
    <t xml:space="preserve">Multi-bit upset in one word</t>
  </si>
  <si>
    <t xml:space="preserve">SECDED detect + ABFT at drain</t>
  </si>
  <si>
    <t xml:space="preserve">v1: argument only (interleaving is a memory-compiler choice); detection by ABFT at drain is proven (C4)</t>
  </si>
  <si>
    <t xml:space="preserve">Stuck cell or decoder fault</t>
  </si>
  <si>
    <t xml:space="preserve">ECC, ABFT at drain, MBIST at boot</t>
  </si>
  <si>
    <t xml:space="preserve">v1: March C- MBIST implemented and proven (B1-B3 standalone, M11 through registers with ESM cause); ECC on banks proven (M5)</t>
  </si>
  <si>
    <t xml:space="preserve">Activation buffer SRAM (32 KB)</t>
  </si>
  <si>
    <t xml:space="preserve">SECDED ECC; end-to-end CRC from the DMA (ABFT cannot see a wrong input)</t>
  </si>
  <si>
    <t xml:space="preserve">v1: end-to-end CRC proven (M3); source-bank ECC proven (M5); MBIST proven (M11); the activation buffer itself is covered by the CRC at write and by the duplicated feeder control (C5)</t>
  </si>
  <si>
    <t xml:space="preserve">Multi-bit upset or stuck cell</t>
  </si>
  <si>
    <t xml:space="preserve">both</t>
  </si>
  <si>
    <t xml:space="preserve">SECDED detect, E2E CRC, MBIST</t>
  </si>
  <si>
    <t xml:space="preserve">v1: proven for the bank path (M5, M9, M11); DC_L by periodic MBIST</t>
  </si>
  <si>
    <t xml:space="preserve">Feeder address generator and run FSM</t>
  </si>
  <si>
    <t xml:space="preserve">Wrong address, wrong sequence, early stop</t>
  </si>
  <si>
    <t xml:space="preserve">Duplicated address generator with comparator (DCLS-style)</t>
  </si>
  <si>
    <t xml:space="preserve">v1: duplicated feeder control proven (C5, drop 0.4)</t>
  </si>
  <si>
    <t xml:space="preserve">Bit flip in counters</t>
  </si>
  <si>
    <t xml:space="preserve">Duplicated address generator with comparator</t>
  </si>
  <si>
    <t xml:space="preserve">v1: proven (C5)</t>
  </si>
  <si>
    <t xml:space="preserve">Accumulator write/read control and index pipeline</t>
  </si>
  <si>
    <t xml:space="preserve">Wrong row index or first flag</t>
  </si>
  <si>
    <t xml:space="preserve">Parity on index/first delay lines; ABFT at drain catches mixed rows only partially</t>
  </si>
  <si>
    <t xml:space="preserve">v1: coverage to be measured by fault simulation (Xcelium fault campaign); mechanism in place</t>
  </si>
  <si>
    <t xml:space="preserve">Clock and reset distribution in the core</t>
  </si>
  <si>
    <t xml:space="preserve">Clock stuck, glitch, reset glitch</t>
  </si>
  <si>
    <t xml:space="preserve">Clock monitor and watchdog in the safety island</t>
  </si>
  <si>
    <t xml:space="preserve">v1: windowed watchdog in the ESM proven (M8); clock monitor is a PLL/monitor IP item (RFQ 11)</t>
  </si>
  <si>
    <t xml:space="preserve">NoC interface (requests, responses)</t>
  </si>
  <si>
    <t xml:space="preserve">Corrupted packet, lost packet</t>
  </si>
  <si>
    <t xml:space="preserve">Packet parity/CRC, timeout, sequence numbers</t>
  </si>
  <si>
    <t xml:space="preserve">v1: router parity drop (N2), per-message end-to-end CRC (M3), word count per message for lost flits (M9a), fetch timeout (M9b); sequence numbers subsumed by the word count</t>
  </si>
  <si>
    <t xml:space="preserve">Sequencer FSM, run counters, weight-buffer addressing</t>
  </si>
  <si>
    <t xml:space="preserve">Wrong run order, wrong tile, early drain</t>
  </si>
  <si>
    <t xml:space="preserve">Duplicated sequencer with comparator (lockstep), weight-buffer ECC</t>
  </si>
  <si>
    <t xml:space="preserve">v1: lockstep sequencer proven (C7); weight-buffer ECC per lane proven (C9)</t>
  </si>
  <si>
    <t xml:space="preserve">Requantization tables and datapath</t>
  </si>
  <si>
    <t xml:space="preserve">Wrong scale, zero point or saturation</t>
  </si>
  <si>
    <t xml:space="preserve">Table parity and a duplicated requant stage with comparator</t>
  </si>
  <si>
    <t xml:space="preserve">v1: duplicated stage proven (C8); table parity proven (C10, including the fault the comparator cannot see)</t>
  </si>
  <si>
    <t xml:space="preserve">Reduce port and partial-sum transfer (K-split)</t>
  </si>
  <si>
    <t xml:space="preserve">Corrupted or lost partial-sum row</t>
  </si>
  <si>
    <t xml:space="preserve">Check column travels with the partial sums; drain-time ABFT at the owner; row count in the sequencer</t>
  </si>
  <si>
    <t xml:space="preserve">today: proven (K2 corrupted row flagged at the owner)</t>
  </si>
  <si>
    <t xml:space="preserve">Totals</t>
  </si>
  <si>
    <t xml:space="preserve">Safety-related λ_SR (Σ λ × SR × FMD)</t>
  </si>
  <si>
    <t xml:space="preserve">Column guide: λ from Assumptions by area/bit share; FMD = share of the block's λ in this failure mode; DC_RF = diagnostic coverage against single-point violation; DC_L = coverage of latent faults in safety mechanisms. Blue cells are the inputs the safety team owns; coverage values here are engineering claims to be measured by fault simulation (Xcelium XFS / JasperGold FSV) in phase 2.</t>
  </si>
  <si>
    <t xml:space="preserve">Hardware architectural metrics, one MAC core (formulas; ISO 26262-5 Annex C simplified, first-order PMHF)</t>
  </si>
  <si>
    <t xml:space="preserve">Metric</t>
  </si>
  <si>
    <t xml:space="preserve">ASIL-B(D) target</t>
  </si>
  <si>
    <t xml:space="preserve">ASIL-D target</t>
  </si>
  <si>
    <t xml:space="preserve">Meets ASIL-B(D)?</t>
  </si>
  <si>
    <t xml:space="preserve">Σ λ_SR, safety-related failure rate (FIT)</t>
  </si>
  <si>
    <t xml:space="preserve">Σ λ_SPF/RF, residual (FIT)</t>
  </si>
  <si>
    <t xml:space="preserve">Σ λ_MPF,L, latent (FIT)</t>
  </si>
  <si>
    <t xml:space="preserve">SPFM = 1 − Σλ_SPF/RF / Σλ_SR</t>
  </si>
  <si>
    <t xml:space="preserve">LFM = 1 − Σλ_MPF,L / (Σλ_SR − Σλ_SPF/RF)</t>
  </si>
  <si>
    <t xml:space="preserve">PMHF, first order (FIT) = Σλ_RF + Σλ_MPF,L × Σλ_SR × T_life × 1e-9</t>
  </si>
  <si>
    <t xml:space="preserve">Reading: the core's residual is dominated by the two findings in FMEDA_core (feeder control with no diagnostic today, activation-buffer corruption invisible to ABFT). The 'planned' coverages assume R7 duplication, ECC and E2E CRC are implemented; set those DC values to 0 to see the v0.2 RTL as it stands.</t>
  </si>
  <si>
    <t xml:space="preserve">Chip-level roll-up, accelerator die. Per element: λ_SR = safety-related failure rate of the element; DC_RF = coverage of its safety mechanism; λ_SM = failure rate of the mechanism's own logic; DC_L = coverage of the mechanism's latent faults by its self-test. The dual-point term pairs each mechanism's latent faults with the faults it covers (λ_MPF,L × λ_SR × T_life). Elements other than the MAC cores carry assumed values until their own FMEDA sheets exist. Blue = inputs.</t>
  </si>
  <si>
    <t xml:space="preserve">Element</t>
  </si>
  <si>
    <t xml:space="preserve">Count</t>
  </si>
  <si>
    <t xml:space="preserve">λ_SR per instance (FIT)</t>
  </si>
  <si>
    <t xml:space="preserve">λ_SM per instance (FIT)</t>
  </si>
  <si>
    <t xml:space="preserve">λ_SR total</t>
  </si>
  <si>
    <t xml:space="preserve">λ_SPF/RF total</t>
  </si>
  <si>
    <t xml:space="preserve">λ_MPF,L total</t>
  </si>
  <si>
    <t xml:space="preserve">PMHF contribution (FIT)</t>
  </si>
  <si>
    <t xml:space="preserve">Safety mechanism (summary)</t>
  </si>
  <si>
    <t xml:space="preserve">MAC core (from FMEDA_core)</t>
  </si>
  <si>
    <t xml:space="preserve">ABFT, ECC, LBIST, duplicated feeder control (planned); residual and latent taken from FMEDA_core</t>
  </si>
  <si>
    <t xml:space="preserve">Shared SRAM 128 MB, soft errors</t>
  </si>
  <si>
    <t xml:space="preserve">SECDED (39,32) per word: proven on the tile mesh (M5, drop 0.9); + 4-way interleaving + scrubbing + ABFT credit at the consumer; λ_SM = ECC/scrubber logic; DC_L = periodic ECC error injection</t>
  </si>
  <si>
    <t xml:space="preserve">Shared SRAM 128 MB, permanent</t>
  </si>
  <si>
    <t xml:space="preserve">ECC, MBIST at boot, repair</t>
  </si>
  <si>
    <t xml:space="preserve">NoC and DMA engines</t>
  </si>
  <si>
    <t xml:space="preserve">Packet parity/CRC, timeouts, descriptor CRC; λ_SM = checkers</t>
  </si>
  <si>
    <t xml:space="preserve">Safety island (lockstep R52+)</t>
  </si>
  <si>
    <t xml:space="preserve">Dual-core lockstep, ECC, watchdogs, self-test</t>
  </si>
  <si>
    <t xml:space="preserve">LPDDR5X controller and PHY</t>
  </si>
  <si>
    <t xml:space="preserve">Inline ECC, link ECC, loopback test</t>
  </si>
  <si>
    <t xml:space="preserve">PCIe, Ethernet, MIPI, ISP</t>
  </si>
  <si>
    <t xml:space="preserve">CRC, end-to-end protection, frame counters</t>
  </si>
  <si>
    <t xml:space="preserve">Clocks, resets, power management</t>
  </si>
  <si>
    <t xml:space="preserve">Clock/voltage/temperature monitors</t>
  </si>
  <si>
    <t xml:space="preserve">Chip SPFM</t>
  </si>
  <si>
    <t xml:space="preserve">Chip LFM</t>
  </si>
  <si>
    <t xml:space="preserve">Chip PMHF, first order (FIT)</t>
  </si>
  <si>
    <t xml:space="preserve">Meets ASIL-B(D) (SPFM ≥ 90 %, LFM ≥ 60 %, PMHF ≤ 100 FIT)?</t>
  </si>
  <si>
    <t xml:space="preserve">Meets ASIL-D (SPFM ≥ 99 %, LFM ≥ 90 %, PMHF ≤ 10 FIT)?</t>
  </si>
  <si>
    <t xml:space="preserve">Reading: the shared SRAM's soft-error residual (DC_RF 99.995 %) and the dual-point term of its ECC logic dominate chip PMHF. Those two numbers (SRAM SER from the foundry, ECC-logic self-test coverage) decide whether the accelerator element meets ASIL-B(D) with margin; ASIL-D at chip level is not the target (decision 4). Elements other than the MAC cores are placeholders until their FMEDA sheets exist.</t>
  </si>
  <si>
    <t xml:space="preserve">Mechanism evidence (v1): every coverage claim above points at the test that exercised the mechanism on the RTL</t>
  </si>
  <si>
    <t xml:space="preserve">Mechanism</t>
  </si>
  <si>
    <t xml:space="preserve">Fault injected</t>
  </si>
  <si>
    <t xml:space="preserve">Test</t>
  </si>
  <si>
    <t xml:space="preserve">Log</t>
  </si>
  <si>
    <t xml:space="preserve">Drop</t>
  </si>
  <si>
    <t xml:space="preserve">ABFT check column</t>
  </si>
  <si>
    <t xml:space="preserve">+1 on one product in PE(0,0) for one cycle</t>
  </si>
  <si>
    <t xml:space="preserve">T2 (model and 32x32 RTL), C4</t>
  </si>
  <si>
    <t xml:space="preserve">sim/neosim_mac_core_32x32.log, sim/neosim_conv_core.log</t>
  </si>
  <si>
    <t xml:space="preserve">0.1-0.3</t>
  </si>
  <si>
    <t xml:space="preserve">ABFT at drain</t>
  </si>
  <si>
    <t xml:space="preserve">bit flip in accumulator memory; corrupted partial-sum row in flight</t>
  </si>
  <si>
    <t xml:space="preserve">C4, K2</t>
  </si>
  <si>
    <t xml:space="preserve">sim/neosim_conv_core.log, sim/neosim_ksplit.log</t>
  </si>
  <si>
    <t xml:space="preserve">0.3, 0.6</t>
  </si>
  <si>
    <t xml:space="preserve">Duplicated feeder control (R7)</t>
  </si>
  <si>
    <t xml:space="preserve">address generator corrupted for one valid cycle</t>
  </si>
  <si>
    <t xml:space="preserve">C5</t>
  </si>
  <si>
    <t xml:space="preserve">sim/neosim_conv_core.log</t>
  </si>
  <si>
    <t xml:space="preserve">0.4</t>
  </si>
  <si>
    <t xml:space="preserve">Lockstep sequencer (R10)</t>
  </si>
  <si>
    <t xml:space="preserve">drain index bit 0 flipped</t>
  </si>
  <si>
    <t xml:space="preserve">C7</t>
  </si>
  <si>
    <t xml:space="preserve">0.8</t>
  </si>
  <si>
    <t xml:space="preserve">Duplicated requantization (R10)</t>
  </si>
  <si>
    <t xml:space="preserve">bit 12 of column 0 into the primary stage</t>
  </si>
  <si>
    <t xml:space="preserve">C8</t>
  </si>
  <si>
    <t xml:space="preserve">Weight-buffer ECC</t>
  </si>
  <si>
    <t xml:space="preserve">data and check bits flipped in stored codewords</t>
  </si>
  <si>
    <t xml:space="preserve">C9</t>
  </si>
  <si>
    <t xml:space="preserve">sim/neosim_conv_core_late.log</t>
  </si>
  <si>
    <t xml:space="preserve">0.12</t>
  </si>
  <si>
    <t xml:space="preserve">Requant table parity</t>
  </si>
  <si>
    <t xml:space="preserve">multiplier bit 0 flipped</t>
  </si>
  <si>
    <t xml:space="preserve">C10</t>
  </si>
  <si>
    <t xml:space="preserve">Link parity</t>
  </si>
  <si>
    <t xml:space="preserve">flit bit flipped on a link</t>
  </si>
  <si>
    <t xml:space="preserve">N2</t>
  </si>
  <si>
    <t xml:space="preserve">sim/neosim_noc.log</t>
  </si>
  <si>
    <t xml:space="preserve">End-to-end CRC</t>
  </si>
  <si>
    <t xml:space="preserve">payload bit flipped past the last link check</t>
  </si>
  <si>
    <t xml:space="preserve">M3</t>
  </si>
  <si>
    <t xml:space="preserve">sim/neosim_tiles.log</t>
  </si>
  <si>
    <t xml:space="preserve">0.7</t>
  </si>
  <si>
    <t xml:space="preserve">Bank ECC</t>
  </si>
  <si>
    <t xml:space="preserve">data and check bits flipped in the source bank</t>
  </si>
  <si>
    <t xml:space="preserve">M5</t>
  </si>
  <si>
    <t xml:space="preserve">0.9</t>
  </si>
  <si>
    <t xml:space="preserve">Lost-flit detection</t>
  </si>
  <si>
    <t xml:space="preserve">a fetch-response flit dropped at the owner's port</t>
  </si>
  <si>
    <t xml:space="preserve">M9a</t>
  </si>
  <si>
    <t xml:space="preserve">Fetch timeout</t>
  </si>
  <si>
    <t xml:space="preserve">request against a server held busy</t>
  </si>
  <si>
    <t xml:space="preserve">M9b</t>
  </si>
  <si>
    <t xml:space="preserve">Reduction flow control</t>
  </si>
  <si>
    <t xml:space="preserve">contributor finishing before the owner (deadlock without RDY)</t>
  </si>
  <si>
    <t xml:space="preserve">M2</t>
  </si>
  <si>
    <t xml:space="preserve">ESM, error pin, watchdog, checker self-test</t>
  </si>
  <si>
    <t xml:space="preserve">self-test dummy run; watchdog not kicked</t>
  </si>
  <si>
    <t xml:space="preserve">M8</t>
  </si>
  <si>
    <t xml:space="preserve">Bank MBIST (March C-)</t>
  </si>
  <si>
    <t xml:space="preserve">stuck-at-1 bit; two stuck bits</t>
  </si>
  <si>
    <t xml:space="preserve">B1-B3, M11</t>
  </si>
  <si>
    <t xml:space="preserve">sim/neosim_mbist.log, sim/neosim_tiles.log</t>
  </si>
  <si>
    <t xml:space="preserve">0.13</t>
  </si>
  <si>
    <t xml:space="preserve">(39,32) SECDED code</t>
  </si>
  <si>
    <t xml:space="preserve">all 39 single flips x 40 words; 400 double flips</t>
  </si>
  <si>
    <t xml:space="preserve">ecc39</t>
  </si>
  <si>
    <t xml:space="preserve">sim/neosim_ecc39.log</t>
  </si>
  <si>
    <t xml:space="preserve">INT8 layer-to-layer path</t>
  </si>
  <si>
    <t xml:space="preserve">none (functional)</t>
  </si>
  <si>
    <t xml:space="preserve">M10</t>
  </si>
  <si>
    <t xml:space="preserve">sim/neosim_two_layer.log</t>
  </si>
  <si>
    <t xml:space="preserve">LBIST</t>
  </si>
  <si>
    <t xml:space="preserve">none: tool-inserted (Modus), hooks and FTTI schedule in the island</t>
  </si>
  <si>
    <t xml:space="preserve">-</t>
  </si>
  <si>
    <t xml:space="preserve">handoff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</si>
</sst>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00"/>
    <numFmt numFmtId="167" formatCode="0.0000"/>
    <numFmt numFmtId="168" formatCode="0.00%"/>
    <numFmt numFmtId="169" formatCode="0"/>
    <numFmt numFmtId="170" formatCode="0.000%"/>
    <numFmt numFmtId="171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48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/>
      <c r="B2" s="2"/>
      <c r="C2" s="2"/>
      <c r="D2" s="2"/>
    </row>
    <row r="3" customFormat="false" ht="42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26.85" hidden="false" customHeight="false" outlineLevel="0" collapsed="false">
      <c r="A4" s="4" t="s">
        <v>5</v>
      </c>
      <c r="B4" s="5" t="n">
        <v>200</v>
      </c>
      <c r="C4" s="4" t="s">
        <v>6</v>
      </c>
      <c r="D4" s="6" t="s">
        <v>7</v>
      </c>
    </row>
    <row r="5" customFormat="false" ht="15" hidden="false" customHeight="false" outlineLevel="0" collapsed="false">
      <c r="A5" s="4" t="s">
        <v>8</v>
      </c>
      <c r="B5" s="5" t="n">
        <v>210</v>
      </c>
      <c r="C5" s="4" t="s">
        <v>9</v>
      </c>
      <c r="D5" s="6" t="s">
        <v>10</v>
      </c>
    </row>
    <row r="6" customFormat="false" ht="15" hidden="false" customHeight="false" outlineLevel="0" collapsed="false">
      <c r="A6" s="4" t="s">
        <v>11</v>
      </c>
      <c r="B6" s="5" t="n">
        <v>0.47</v>
      </c>
      <c r="C6" s="4" t="s">
        <v>9</v>
      </c>
      <c r="D6" s="6" t="s">
        <v>12</v>
      </c>
    </row>
    <row r="7" customFormat="false" ht="26.85" hidden="false" customHeight="false" outlineLevel="0" collapsed="false">
      <c r="A7" s="4" t="s">
        <v>13</v>
      </c>
      <c r="B7" s="5" t="n">
        <v>600</v>
      </c>
      <c r="C7" s="4" t="s">
        <v>14</v>
      </c>
      <c r="D7" s="6" t="s">
        <v>15</v>
      </c>
    </row>
    <row r="8" customFormat="false" ht="15" hidden="false" customHeight="false" outlineLevel="0" collapsed="false">
      <c r="A8" s="4" t="s">
        <v>16</v>
      </c>
      <c r="B8" s="5" t="n">
        <v>100</v>
      </c>
      <c r="C8" s="4" t="s">
        <v>14</v>
      </c>
      <c r="D8" s="6" t="s">
        <v>17</v>
      </c>
    </row>
    <row r="9" customFormat="false" ht="15" hidden="false" customHeight="false" outlineLevel="0" collapsed="false">
      <c r="A9" s="4" t="s">
        <v>18</v>
      </c>
      <c r="B9" s="5" t="n">
        <v>0.5</v>
      </c>
      <c r="C9" s="4" t="s">
        <v>19</v>
      </c>
      <c r="D9" s="6" t="s">
        <v>20</v>
      </c>
    </row>
    <row r="10" customFormat="false" ht="15" hidden="false" customHeight="false" outlineLevel="0" collapsed="false">
      <c r="A10" s="4" t="s">
        <v>21</v>
      </c>
      <c r="B10" s="5" t="n">
        <v>0.25</v>
      </c>
      <c r="C10" s="4" t="s">
        <v>19</v>
      </c>
      <c r="D10" s="6" t="s">
        <v>22</v>
      </c>
    </row>
    <row r="11" customFormat="false" ht="15" hidden="false" customHeight="false" outlineLevel="0" collapsed="false">
      <c r="A11" s="4" t="s">
        <v>23</v>
      </c>
      <c r="B11" s="5" t="n">
        <v>0.0176</v>
      </c>
      <c r="C11" s="4" t="s">
        <v>19</v>
      </c>
      <c r="D11" s="6" t="s">
        <v>24</v>
      </c>
    </row>
    <row r="12" customFormat="false" ht="26.85" hidden="false" customHeight="false" outlineLevel="0" collapsed="false">
      <c r="A12" s="4" t="s">
        <v>25</v>
      </c>
      <c r="B12" s="5" t="n">
        <v>0.04</v>
      </c>
      <c r="C12" s="4" t="s">
        <v>19</v>
      </c>
      <c r="D12" s="6" t="s">
        <v>26</v>
      </c>
    </row>
    <row r="13" customFormat="false" ht="15" hidden="false" customHeight="false" outlineLevel="0" collapsed="false">
      <c r="A13" s="4" t="s">
        <v>27</v>
      </c>
      <c r="B13" s="5" t="n">
        <v>131400</v>
      </c>
      <c r="C13" s="4" t="s">
        <v>28</v>
      </c>
      <c r="D13" s="6" t="s">
        <v>29</v>
      </c>
    </row>
    <row r="14" customFormat="false" ht="15" hidden="false" customHeight="false" outlineLevel="0" collapsed="false">
      <c r="A14" s="4" t="s">
        <v>30</v>
      </c>
      <c r="B14" s="7" t="n">
        <v>0.9</v>
      </c>
      <c r="C14" s="4"/>
      <c r="D14" s="6" t="s">
        <v>31</v>
      </c>
    </row>
    <row r="15" customFormat="false" ht="15" hidden="false" customHeight="false" outlineLevel="0" collapsed="false">
      <c r="A15" s="4" t="s">
        <v>32</v>
      </c>
      <c r="B15" s="7" t="n">
        <v>0.6</v>
      </c>
      <c r="C15" s="4"/>
      <c r="D15" s="6" t="s">
        <v>33</v>
      </c>
    </row>
    <row r="16" customFormat="false" ht="15" hidden="false" customHeight="false" outlineLevel="0" collapsed="false">
      <c r="A16" s="4" t="s">
        <v>34</v>
      </c>
      <c r="B16" s="5" t="n">
        <v>100</v>
      </c>
      <c r="C16" s="4" t="s">
        <v>6</v>
      </c>
      <c r="D16" s="6" t="s">
        <v>35</v>
      </c>
    </row>
    <row r="17" customFormat="false" ht="15" hidden="false" customHeight="false" outlineLevel="0" collapsed="false">
      <c r="A17" s="4" t="s">
        <v>36</v>
      </c>
      <c r="B17" s="7" t="n">
        <v>0.99</v>
      </c>
      <c r="C17" s="4"/>
      <c r="D17" s="6" t="s">
        <v>31</v>
      </c>
    </row>
    <row r="18" customFormat="false" ht="15" hidden="false" customHeight="false" outlineLevel="0" collapsed="false">
      <c r="A18" s="4" t="s">
        <v>37</v>
      </c>
      <c r="B18" s="7" t="n">
        <v>0.9</v>
      </c>
      <c r="C18" s="4"/>
      <c r="D18" s="6" t="s">
        <v>33</v>
      </c>
    </row>
    <row r="19" customFormat="false" ht="15" hidden="false" customHeight="false" outlineLevel="0" collapsed="false">
      <c r="A19" s="4" t="s">
        <v>38</v>
      </c>
      <c r="B19" s="5" t="n">
        <v>10</v>
      </c>
      <c r="C19" s="4" t="s">
        <v>6</v>
      </c>
      <c r="D19" s="6" t="s">
        <v>35</v>
      </c>
    </row>
    <row r="20" customFormat="false" ht="15" hidden="false" customHeight="false" outlineLevel="0" collapsed="false">
      <c r="A20" s="2"/>
      <c r="B20" s="2"/>
      <c r="C20" s="2"/>
      <c r="D20" s="2"/>
    </row>
    <row r="21" customFormat="false" ht="15" hidden="false" customHeight="false" outlineLevel="0" collapsed="false">
      <c r="A21" s="8" t="s">
        <v>39</v>
      </c>
      <c r="B21" s="2"/>
      <c r="C21" s="2"/>
      <c r="D21" s="2"/>
    </row>
    <row r="22" customFormat="false" ht="15" hidden="false" customHeight="false" outlineLevel="0" collapsed="false">
      <c r="A22" s="9" t="s">
        <v>40</v>
      </c>
      <c r="B22" s="10" t="n">
        <f aca="false">B4*B6/B5</f>
        <v>0.447619047619048</v>
      </c>
      <c r="C22" s="9" t="s">
        <v>6</v>
      </c>
      <c r="D22" s="2"/>
    </row>
    <row r="23" customFormat="false" ht="15" hidden="false" customHeight="false" outlineLevel="0" collapsed="false">
      <c r="A23" s="9" t="s">
        <v>41</v>
      </c>
      <c r="B23" s="10" t="n">
        <f aca="false">B7*B9</f>
        <v>300</v>
      </c>
      <c r="C23" s="9" t="s">
        <v>6</v>
      </c>
      <c r="D23" s="2"/>
    </row>
    <row r="24" customFormat="false" ht="15" hidden="false" customHeight="false" outlineLevel="0" collapsed="false">
      <c r="A24" s="9" t="s">
        <v>42</v>
      </c>
      <c r="B24" s="10" t="n">
        <f aca="false">B7*B10</f>
        <v>150</v>
      </c>
      <c r="C24" s="9" t="s">
        <v>6</v>
      </c>
      <c r="D24" s="2"/>
    </row>
    <row r="25" customFormat="false" ht="15" hidden="false" customHeight="false" outlineLevel="0" collapsed="false">
      <c r="A25" s="9" t="s">
        <v>43</v>
      </c>
      <c r="B25" s="10" t="n">
        <f aca="false">B8*B11</f>
        <v>1.76</v>
      </c>
      <c r="C25" s="9" t="s">
        <v>6</v>
      </c>
      <c r="D25" s="2"/>
    </row>
    <row r="26" customFormat="false" ht="15" hidden="false" customHeight="false" outlineLevel="0" collapsed="false">
      <c r="A26" s="9" t="s">
        <v>44</v>
      </c>
      <c r="B26" s="10" t="n">
        <f aca="false">B8*B12</f>
        <v>4</v>
      </c>
      <c r="C26" s="9" t="s">
        <v>6</v>
      </c>
      <c r="D26" s="2"/>
    </row>
    <row r="27" customFormat="false" ht="15" hidden="false" customHeight="false" outlineLevel="0" collapsed="false">
      <c r="A27" s="2"/>
      <c r="B27" s="2"/>
      <c r="C27" s="2"/>
      <c r="D27" s="2"/>
    </row>
    <row r="28" customFormat="false" ht="15" hidden="false" customHeight="false" outlineLevel="0" collapsed="false">
      <c r="A28" s="2"/>
      <c r="B28" s="2"/>
      <c r="C28" s="2"/>
      <c r="D28" s="2"/>
    </row>
    <row r="29" customFormat="false" ht="15" hidden="false" customHeight="false" outlineLevel="0" collapsed="false">
      <c r="A29" s="11" t="s">
        <v>45</v>
      </c>
      <c r="B29" s="11"/>
      <c r="C29" s="11"/>
      <c r="D29" s="11"/>
    </row>
  </sheetData>
  <mergeCells count="2">
    <mergeCell ref="A1:D1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6" min="3" style="0" width="10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9"/>
    <col collapsed="false" customWidth="true" hidden="false" outlineLevel="0" max="11" min="10" style="0" width="12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5" min="15" style="0" width="40"/>
  </cols>
  <sheetData>
    <row r="1" customFormat="false" ht="48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42" hidden="false" customHeight="true" outlineLevel="0" collapsed="false">
      <c r="A3" s="3" t="s">
        <v>47</v>
      </c>
      <c r="B3" s="3" t="s">
        <v>48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53</v>
      </c>
      <c r="H3" s="3" t="s">
        <v>54</v>
      </c>
      <c r="I3" s="3" t="s">
        <v>55</v>
      </c>
      <c r="J3" s="3" t="s">
        <v>56</v>
      </c>
      <c r="K3" s="3" t="s">
        <v>57</v>
      </c>
      <c r="L3" s="3" t="s">
        <v>58</v>
      </c>
      <c r="M3" s="3" t="s">
        <v>59</v>
      </c>
      <c r="N3" s="3" t="s">
        <v>60</v>
      </c>
      <c r="O3" s="3" t="s">
        <v>61</v>
      </c>
    </row>
    <row r="4" customFormat="false" ht="39.55" hidden="false" customHeight="false" outlineLevel="0" collapsed="false">
      <c r="A4" s="6" t="s">
        <v>62</v>
      </c>
      <c r="B4" s="6" t="s">
        <v>63</v>
      </c>
      <c r="C4" s="6" t="s">
        <v>64</v>
      </c>
      <c r="D4" s="12" t="n">
        <f aca="false">Assumptions!$B$22*0.55</f>
        <v>0.246190476190476</v>
      </c>
      <c r="E4" s="13" t="n">
        <v>1</v>
      </c>
      <c r="F4" s="14" t="n">
        <v>0.9</v>
      </c>
      <c r="G4" s="13" t="n">
        <v>1</v>
      </c>
      <c r="H4" s="6" t="s">
        <v>65</v>
      </c>
      <c r="I4" s="14" t="n">
        <v>0.99</v>
      </c>
      <c r="J4" s="12" t="n">
        <f aca="false">D4*E4*F4*G4*(1-I4)</f>
        <v>0.00221571428571429</v>
      </c>
      <c r="K4" s="13" t="n">
        <v>0</v>
      </c>
      <c r="L4" s="6" t="s">
        <v>66</v>
      </c>
      <c r="M4" s="14" t="n">
        <v>0</v>
      </c>
      <c r="N4" s="12" t="n">
        <f aca="false">D4*E4*F4*K4*(1-M4)</f>
        <v>0</v>
      </c>
      <c r="O4" s="6" t="s">
        <v>67</v>
      </c>
    </row>
    <row r="5" customFormat="false" ht="64.9" hidden="false" customHeight="false" outlineLevel="0" collapsed="false">
      <c r="A5" s="6" t="s">
        <v>62</v>
      </c>
      <c r="B5" s="6" t="s">
        <v>68</v>
      </c>
      <c r="C5" s="6" t="s">
        <v>64</v>
      </c>
      <c r="D5" s="12" t="n">
        <f aca="false">Assumptions!$B$22*0.55</f>
        <v>0.246190476190476</v>
      </c>
      <c r="E5" s="13" t="n">
        <v>1</v>
      </c>
      <c r="F5" s="14" t="n">
        <v>0.1</v>
      </c>
      <c r="G5" s="13" t="n">
        <v>1</v>
      </c>
      <c r="H5" s="6" t="s">
        <v>69</v>
      </c>
      <c r="I5" s="14" t="n">
        <v>0.9</v>
      </c>
      <c r="J5" s="12" t="n">
        <f aca="false">D5*E5*F5*G5*(1-I5)</f>
        <v>0.00246190476190476</v>
      </c>
      <c r="K5" s="13" t="n">
        <v>0</v>
      </c>
      <c r="L5" s="6" t="s">
        <v>70</v>
      </c>
      <c r="M5" s="14" t="n">
        <v>0</v>
      </c>
      <c r="N5" s="12" t="n">
        <f aca="false">D5*E5*F5*K5*(1-M5)</f>
        <v>0</v>
      </c>
      <c r="O5" s="6" t="s">
        <v>71</v>
      </c>
    </row>
    <row r="6" customFormat="false" ht="26.85" hidden="false" customHeight="false" outlineLevel="0" collapsed="false">
      <c r="A6" s="6" t="s">
        <v>72</v>
      </c>
      <c r="B6" s="6" t="s">
        <v>73</v>
      </c>
      <c r="C6" s="6" t="s">
        <v>74</v>
      </c>
      <c r="D6" s="12" t="n">
        <f aca="false">Assumptions!$B$25</f>
        <v>1.76</v>
      </c>
      <c r="E6" s="13" t="n">
        <v>1</v>
      </c>
      <c r="F6" s="14" t="n">
        <v>1</v>
      </c>
      <c r="G6" s="13" t="n">
        <v>1</v>
      </c>
      <c r="H6" s="6" t="s">
        <v>75</v>
      </c>
      <c r="I6" s="14" t="n">
        <v>0.99</v>
      </c>
      <c r="J6" s="12" t="n">
        <f aca="false">D6*E6*F6*G6*(1-I6)</f>
        <v>0.0176</v>
      </c>
      <c r="K6" s="13" t="n">
        <v>0</v>
      </c>
      <c r="L6" s="6" t="s">
        <v>70</v>
      </c>
      <c r="M6" s="14" t="n">
        <v>0</v>
      </c>
      <c r="N6" s="12" t="n">
        <f aca="false">D6*E6*F6*K6*(1-M6)</f>
        <v>0</v>
      </c>
      <c r="O6" s="6" t="s">
        <v>76</v>
      </c>
    </row>
    <row r="7" customFormat="false" ht="26.85" hidden="false" customHeight="false" outlineLevel="0" collapsed="false">
      <c r="A7" s="6" t="s">
        <v>72</v>
      </c>
      <c r="B7" s="6" t="s">
        <v>77</v>
      </c>
      <c r="C7" s="6" t="s">
        <v>64</v>
      </c>
      <c r="D7" s="12" t="n">
        <f aca="false">Assumptions!$B$22*0.05</f>
        <v>0.0223809523809524</v>
      </c>
      <c r="E7" s="13" t="n">
        <v>1</v>
      </c>
      <c r="F7" s="14" t="n">
        <v>1</v>
      </c>
      <c r="G7" s="13" t="n">
        <v>1</v>
      </c>
      <c r="H7" s="6" t="s">
        <v>78</v>
      </c>
      <c r="I7" s="14" t="n">
        <v>0.99</v>
      </c>
      <c r="J7" s="12" t="n">
        <f aca="false">D7*E7*F7*G7*(1-I7)</f>
        <v>0.000223809523809524</v>
      </c>
      <c r="K7" s="13" t="n">
        <v>0</v>
      </c>
      <c r="L7" s="6" t="s">
        <v>70</v>
      </c>
      <c r="M7" s="14" t="n">
        <v>0</v>
      </c>
      <c r="N7" s="12" t="n">
        <f aca="false">D7*E7*F7*K7*(1-M7)</f>
        <v>0</v>
      </c>
      <c r="O7" s="6" t="s">
        <v>79</v>
      </c>
    </row>
    <row r="8" customFormat="false" ht="39.55" hidden="false" customHeight="false" outlineLevel="0" collapsed="false">
      <c r="A8" s="6" t="s">
        <v>80</v>
      </c>
      <c r="B8" s="6" t="s">
        <v>81</v>
      </c>
      <c r="C8" s="6" t="s">
        <v>74</v>
      </c>
      <c r="D8" s="12" t="n">
        <f aca="false">Assumptions!$B$26*0.7</f>
        <v>2.8</v>
      </c>
      <c r="E8" s="13" t="n">
        <v>1</v>
      </c>
      <c r="F8" s="14" t="n">
        <v>1</v>
      </c>
      <c r="G8" s="13" t="n">
        <v>1</v>
      </c>
      <c r="H8" s="6" t="s">
        <v>82</v>
      </c>
      <c r="I8" s="14" t="n">
        <v>0.95</v>
      </c>
      <c r="J8" s="12" t="n">
        <f aca="false">D8*E8*F8*G8*(1-I8)</f>
        <v>0.14</v>
      </c>
      <c r="K8" s="13" t="n">
        <v>0</v>
      </c>
      <c r="L8" s="6" t="s">
        <v>70</v>
      </c>
      <c r="M8" s="14" t="n">
        <v>0</v>
      </c>
      <c r="N8" s="12" t="n">
        <f aca="false">D8*E8*F8*K8*(1-M8)</f>
        <v>0</v>
      </c>
      <c r="O8" s="6" t="s">
        <v>83</v>
      </c>
    </row>
    <row r="9" customFormat="false" ht="39.55" hidden="false" customHeight="false" outlineLevel="0" collapsed="false">
      <c r="A9" s="6" t="s">
        <v>80</v>
      </c>
      <c r="B9" s="6" t="s">
        <v>84</v>
      </c>
      <c r="C9" s="6" t="s">
        <v>64</v>
      </c>
      <c r="D9" s="12" t="n">
        <f aca="false">Assumptions!$B$22*0.1</f>
        <v>0.0447619047619048</v>
      </c>
      <c r="E9" s="13" t="n">
        <v>1</v>
      </c>
      <c r="F9" s="14" t="n">
        <v>1</v>
      </c>
      <c r="G9" s="13" t="n">
        <v>1</v>
      </c>
      <c r="H9" s="6" t="s">
        <v>85</v>
      </c>
      <c r="I9" s="14" t="n">
        <v>0.97</v>
      </c>
      <c r="J9" s="12" t="n">
        <f aca="false">D9*E9*F9*G9*(1-I9)</f>
        <v>0.00134285714285714</v>
      </c>
      <c r="K9" s="13" t="n">
        <v>0</v>
      </c>
      <c r="L9" s="6" t="s">
        <v>70</v>
      </c>
      <c r="M9" s="14" t="n">
        <v>0</v>
      </c>
      <c r="N9" s="12" t="n">
        <f aca="false">D9*E9*F9*K9*(1-M9)</f>
        <v>0</v>
      </c>
      <c r="O9" s="6" t="s">
        <v>86</v>
      </c>
    </row>
    <row r="10" customFormat="false" ht="39.55" hidden="false" customHeight="false" outlineLevel="0" collapsed="false">
      <c r="A10" s="6" t="s">
        <v>87</v>
      </c>
      <c r="B10" s="6" t="s">
        <v>88</v>
      </c>
      <c r="C10" s="6" t="s">
        <v>64</v>
      </c>
      <c r="D10" s="12" t="n">
        <f aca="false">Assumptions!$B$22*0.02</f>
        <v>0.00895238095238095</v>
      </c>
      <c r="E10" s="13" t="n">
        <v>1</v>
      </c>
      <c r="F10" s="14" t="n">
        <v>0.5</v>
      </c>
      <c r="G10" s="13" t="n">
        <v>0</v>
      </c>
      <c r="H10" s="6" t="s">
        <v>89</v>
      </c>
      <c r="I10" s="14" t="n">
        <v>0</v>
      </c>
      <c r="J10" s="12" t="n">
        <f aca="false">D10*E10*F10*G10*(1-I10)</f>
        <v>0</v>
      </c>
      <c r="K10" s="13" t="n">
        <v>1</v>
      </c>
      <c r="L10" s="6" t="s">
        <v>90</v>
      </c>
      <c r="M10" s="14" t="n">
        <v>0.9</v>
      </c>
      <c r="N10" s="12" t="n">
        <f aca="false">D10*E10*F10*K10*(1-M10)</f>
        <v>0.000447619047619048</v>
      </c>
      <c r="O10" s="6" t="s">
        <v>91</v>
      </c>
    </row>
    <row r="11" customFormat="false" ht="26.85" hidden="false" customHeight="false" outlineLevel="0" collapsed="false">
      <c r="A11" s="6" t="s">
        <v>87</v>
      </c>
      <c r="B11" s="6" t="s">
        <v>92</v>
      </c>
      <c r="C11" s="6" t="s">
        <v>64</v>
      </c>
      <c r="D11" s="12" t="n">
        <f aca="false">Assumptions!$B$22*0.02</f>
        <v>0.00895238095238095</v>
      </c>
      <c r="E11" s="13" t="n">
        <v>1</v>
      </c>
      <c r="F11" s="14" t="n">
        <v>0.5</v>
      </c>
      <c r="G11" s="13" t="n">
        <v>0</v>
      </c>
      <c r="H11" s="6" t="s">
        <v>93</v>
      </c>
      <c r="I11" s="14" t="n">
        <v>0</v>
      </c>
      <c r="J11" s="12" t="n">
        <f aca="false">D11*E11*F11*G11*(1-I11)</f>
        <v>0</v>
      </c>
      <c r="K11" s="13" t="n">
        <v>0</v>
      </c>
      <c r="L11" s="6" t="s">
        <v>70</v>
      </c>
      <c r="M11" s="14" t="n">
        <v>0</v>
      </c>
      <c r="N11" s="12" t="n">
        <f aca="false">D11*E11*F11*K11*(1-M11)</f>
        <v>0</v>
      </c>
      <c r="O11" s="6" t="s">
        <v>94</v>
      </c>
    </row>
    <row r="12" customFormat="false" ht="64.9" hidden="false" customHeight="false" outlineLevel="0" collapsed="false">
      <c r="A12" s="6" t="s">
        <v>95</v>
      </c>
      <c r="B12" s="6" t="s">
        <v>96</v>
      </c>
      <c r="C12" s="6" t="s">
        <v>74</v>
      </c>
      <c r="D12" s="12" t="n">
        <f aca="false">Assumptions!$B$23*0.97</f>
        <v>291</v>
      </c>
      <c r="E12" s="13" t="n">
        <v>1</v>
      </c>
      <c r="F12" s="14" t="n">
        <v>1</v>
      </c>
      <c r="G12" s="13" t="n">
        <v>1</v>
      </c>
      <c r="H12" s="6" t="s">
        <v>97</v>
      </c>
      <c r="I12" s="14" t="n">
        <v>0.9999</v>
      </c>
      <c r="J12" s="12" t="n">
        <f aca="false">D12*E12*F12*G12*(1-I12)</f>
        <v>0.0290999999999968</v>
      </c>
      <c r="K12" s="13" t="n">
        <v>0</v>
      </c>
      <c r="L12" s="6" t="s">
        <v>70</v>
      </c>
      <c r="M12" s="14" t="n">
        <v>0</v>
      </c>
      <c r="N12" s="12" t="n">
        <f aca="false">D12*E12*F12*K12*(1-M12)</f>
        <v>0</v>
      </c>
      <c r="O12" s="6" t="s">
        <v>98</v>
      </c>
    </row>
    <row r="13" customFormat="false" ht="39.55" hidden="false" customHeight="false" outlineLevel="0" collapsed="false">
      <c r="A13" s="6" t="s">
        <v>95</v>
      </c>
      <c r="B13" s="6" t="s">
        <v>99</v>
      </c>
      <c r="C13" s="6" t="s">
        <v>74</v>
      </c>
      <c r="D13" s="12" t="n">
        <f aca="false">Assumptions!$B$23*0.03</f>
        <v>9</v>
      </c>
      <c r="E13" s="13" t="n">
        <v>1</v>
      </c>
      <c r="F13" s="14" t="n">
        <v>1</v>
      </c>
      <c r="G13" s="13" t="n">
        <v>1</v>
      </c>
      <c r="H13" s="6" t="s">
        <v>100</v>
      </c>
      <c r="I13" s="14" t="n">
        <v>0.999</v>
      </c>
      <c r="J13" s="12" t="n">
        <f aca="false">D13*E13*F13*G13*(1-I13)</f>
        <v>0.00900000000000001</v>
      </c>
      <c r="K13" s="13" t="n">
        <v>0</v>
      </c>
      <c r="L13" s="6" t="s">
        <v>70</v>
      </c>
      <c r="M13" s="14" t="n">
        <v>0</v>
      </c>
      <c r="N13" s="12" t="n">
        <f aca="false">D13*E13*F13*K13*(1-M13)</f>
        <v>0</v>
      </c>
      <c r="O13" s="6" t="s">
        <v>101</v>
      </c>
    </row>
    <row r="14" customFormat="false" ht="52.2" hidden="false" customHeight="false" outlineLevel="0" collapsed="false">
      <c r="A14" s="6" t="s">
        <v>95</v>
      </c>
      <c r="B14" s="6" t="s">
        <v>102</v>
      </c>
      <c r="C14" s="6" t="s">
        <v>64</v>
      </c>
      <c r="D14" s="12" t="n">
        <f aca="false">Assumptions!$B$22*0.08</f>
        <v>0.0358095238095238</v>
      </c>
      <c r="E14" s="13" t="n">
        <v>1</v>
      </c>
      <c r="F14" s="14" t="n">
        <v>1</v>
      </c>
      <c r="G14" s="13" t="n">
        <v>1</v>
      </c>
      <c r="H14" s="6" t="s">
        <v>103</v>
      </c>
      <c r="I14" s="14" t="n">
        <v>0.999</v>
      </c>
      <c r="J14" s="12" t="n">
        <f aca="false">D14*E14*F14*G14*(1-I14)</f>
        <v>3.58095238095238E-005</v>
      </c>
      <c r="K14" s="13" t="n">
        <v>0</v>
      </c>
      <c r="L14" s="6" t="s">
        <v>70</v>
      </c>
      <c r="M14" s="14" t="n">
        <v>0</v>
      </c>
      <c r="N14" s="12" t="n">
        <f aca="false">D14*E14*F14*K14*(1-M14)</f>
        <v>0</v>
      </c>
      <c r="O14" s="6" t="s">
        <v>104</v>
      </c>
    </row>
    <row r="15" customFormat="false" ht="64.9" hidden="false" customHeight="false" outlineLevel="0" collapsed="false">
      <c r="A15" s="6" t="s">
        <v>105</v>
      </c>
      <c r="B15" s="6" t="s">
        <v>96</v>
      </c>
      <c r="C15" s="6" t="s">
        <v>74</v>
      </c>
      <c r="D15" s="12" t="n">
        <f aca="false">Assumptions!$B$24*0.97</f>
        <v>145.5</v>
      </c>
      <c r="E15" s="13" t="n">
        <v>1</v>
      </c>
      <c r="F15" s="14" t="n">
        <v>1</v>
      </c>
      <c r="G15" s="13" t="n">
        <v>1</v>
      </c>
      <c r="H15" s="6" t="s">
        <v>106</v>
      </c>
      <c r="I15" s="14" t="n">
        <v>0.999</v>
      </c>
      <c r="J15" s="12" t="n">
        <f aca="false">D15*E15*F15*G15*(1-I15)</f>
        <v>0.1455</v>
      </c>
      <c r="K15" s="13" t="n">
        <v>0</v>
      </c>
      <c r="L15" s="6" t="s">
        <v>70</v>
      </c>
      <c r="M15" s="14" t="n">
        <v>0</v>
      </c>
      <c r="N15" s="12" t="n">
        <f aca="false">D15*E15*F15*K15*(1-M15)</f>
        <v>0</v>
      </c>
      <c r="O15" s="6" t="s">
        <v>107</v>
      </c>
    </row>
    <row r="16" customFormat="false" ht="26.85" hidden="false" customHeight="false" outlineLevel="0" collapsed="false">
      <c r="A16" s="6" t="s">
        <v>105</v>
      </c>
      <c r="B16" s="6" t="s">
        <v>108</v>
      </c>
      <c r="C16" s="6" t="s">
        <v>109</v>
      </c>
      <c r="D16" s="12" t="n">
        <f aca="false">Assumptions!$B$24*0.03+Assumptions!$B$22*0.05</f>
        <v>4.52238095238095</v>
      </c>
      <c r="E16" s="13" t="n">
        <v>1</v>
      </c>
      <c r="F16" s="14" t="n">
        <v>1</v>
      </c>
      <c r="G16" s="13" t="n">
        <v>1</v>
      </c>
      <c r="H16" s="6" t="s">
        <v>110</v>
      </c>
      <c r="I16" s="14" t="n">
        <v>0.99</v>
      </c>
      <c r="J16" s="12" t="n">
        <f aca="false">D16*E16*F16*G16*(1-I16)</f>
        <v>0.0452238095238096</v>
      </c>
      <c r="K16" s="13" t="n">
        <v>0</v>
      </c>
      <c r="L16" s="6" t="s">
        <v>70</v>
      </c>
      <c r="M16" s="14" t="n">
        <v>0</v>
      </c>
      <c r="N16" s="12" t="n">
        <f aca="false">D16*E16*F16*K16*(1-M16)</f>
        <v>0</v>
      </c>
      <c r="O16" s="6" t="s">
        <v>111</v>
      </c>
    </row>
    <row r="17" customFormat="false" ht="39.55" hidden="false" customHeight="false" outlineLevel="0" collapsed="false">
      <c r="A17" s="6" t="s">
        <v>112</v>
      </c>
      <c r="B17" s="6" t="s">
        <v>113</v>
      </c>
      <c r="C17" s="6" t="s">
        <v>64</v>
      </c>
      <c r="D17" s="12" t="n">
        <f aca="false">Assumptions!$B$22*0.06</f>
        <v>0.0268571428571429</v>
      </c>
      <c r="E17" s="13" t="n">
        <v>1</v>
      </c>
      <c r="F17" s="14" t="n">
        <v>1</v>
      </c>
      <c r="G17" s="13" t="n">
        <v>1</v>
      </c>
      <c r="H17" s="6" t="s">
        <v>114</v>
      </c>
      <c r="I17" s="14" t="n">
        <v>0.99</v>
      </c>
      <c r="J17" s="12" t="n">
        <f aca="false">D17*E17*F17*G17*(1-I17)</f>
        <v>0.000268571428571429</v>
      </c>
      <c r="K17" s="13" t="n">
        <v>0</v>
      </c>
      <c r="L17" s="6" t="s">
        <v>70</v>
      </c>
      <c r="M17" s="14" t="n">
        <v>0</v>
      </c>
      <c r="N17" s="12" t="n">
        <f aca="false">D17*E17*F17*K17*(1-M17)</f>
        <v>0</v>
      </c>
      <c r="O17" s="6" t="s">
        <v>115</v>
      </c>
    </row>
    <row r="18" customFormat="false" ht="39.55" hidden="false" customHeight="false" outlineLevel="0" collapsed="false">
      <c r="A18" s="6" t="s">
        <v>112</v>
      </c>
      <c r="B18" s="6" t="s">
        <v>116</v>
      </c>
      <c r="C18" s="6" t="s">
        <v>74</v>
      </c>
      <c r="D18" s="12" t="n">
        <f aca="false">Assumptions!$B$26*0.15</f>
        <v>0.6</v>
      </c>
      <c r="E18" s="13" t="n">
        <v>1</v>
      </c>
      <c r="F18" s="14" t="n">
        <v>1</v>
      </c>
      <c r="G18" s="13" t="n">
        <v>1</v>
      </c>
      <c r="H18" s="6" t="s">
        <v>117</v>
      </c>
      <c r="I18" s="14" t="n">
        <v>0.99</v>
      </c>
      <c r="J18" s="12" t="n">
        <f aca="false">D18*E18*F18*G18*(1-I18)</f>
        <v>0.00600000000000001</v>
      </c>
      <c r="K18" s="13" t="n">
        <v>0</v>
      </c>
      <c r="L18" s="6" t="s">
        <v>70</v>
      </c>
      <c r="M18" s="14" t="n">
        <v>0</v>
      </c>
      <c r="N18" s="12" t="n">
        <f aca="false">D18*E18*F18*K18*(1-M18)</f>
        <v>0</v>
      </c>
      <c r="O18" s="6" t="s">
        <v>118</v>
      </c>
    </row>
    <row r="19" customFormat="false" ht="39.55" hidden="false" customHeight="false" outlineLevel="0" collapsed="false">
      <c r="A19" s="6" t="s">
        <v>119</v>
      </c>
      <c r="B19" s="6" t="s">
        <v>120</v>
      </c>
      <c r="C19" s="6" t="s">
        <v>109</v>
      </c>
      <c r="D19" s="12" t="n">
        <f aca="false">Assumptions!$B$22*0.03+Assumptions!$B$26*0.15</f>
        <v>0.613428571428571</v>
      </c>
      <c r="E19" s="13" t="n">
        <v>1</v>
      </c>
      <c r="F19" s="14" t="n">
        <v>1</v>
      </c>
      <c r="G19" s="13" t="n">
        <v>1</v>
      </c>
      <c r="H19" s="6" t="s">
        <v>121</v>
      </c>
      <c r="I19" s="14" t="n">
        <v>0.95</v>
      </c>
      <c r="J19" s="12" t="n">
        <f aca="false">D19*E19*F19*G19*(1-I19)</f>
        <v>0.0306714285714286</v>
      </c>
      <c r="K19" s="13" t="n">
        <v>0</v>
      </c>
      <c r="L19" s="6" t="s">
        <v>70</v>
      </c>
      <c r="M19" s="14" t="n">
        <v>0</v>
      </c>
      <c r="N19" s="12" t="n">
        <f aca="false">D19*E19*F19*K19*(1-M19)</f>
        <v>0</v>
      </c>
      <c r="O19" s="6" t="s">
        <v>122</v>
      </c>
    </row>
    <row r="20" customFormat="false" ht="39.55" hidden="false" customHeight="false" outlineLevel="0" collapsed="false">
      <c r="A20" s="6" t="s">
        <v>123</v>
      </c>
      <c r="B20" s="6" t="s">
        <v>124</v>
      </c>
      <c r="C20" s="6" t="s">
        <v>64</v>
      </c>
      <c r="D20" s="12" t="n">
        <f aca="false">Assumptions!$B$22*0.02</f>
        <v>0.00895238095238095</v>
      </c>
      <c r="E20" s="13" t="n">
        <v>1</v>
      </c>
      <c r="F20" s="14" t="n">
        <v>1</v>
      </c>
      <c r="G20" s="13" t="n">
        <v>1</v>
      </c>
      <c r="H20" s="6" t="s">
        <v>125</v>
      </c>
      <c r="I20" s="14" t="n">
        <v>0.9</v>
      </c>
      <c r="J20" s="12" t="n">
        <f aca="false">D20*E20*F20*G20*(1-I20)</f>
        <v>0.000895238095238095</v>
      </c>
      <c r="K20" s="13" t="n">
        <v>0</v>
      </c>
      <c r="L20" s="6" t="s">
        <v>70</v>
      </c>
      <c r="M20" s="14" t="n">
        <v>0</v>
      </c>
      <c r="N20" s="12" t="n">
        <f aca="false">D20*E20*F20*K20*(1-M20)</f>
        <v>0</v>
      </c>
      <c r="O20" s="6" t="s">
        <v>126</v>
      </c>
    </row>
    <row r="21" customFormat="false" ht="64.9" hidden="false" customHeight="false" outlineLevel="0" collapsed="false">
      <c r="A21" s="6" t="s">
        <v>127</v>
      </c>
      <c r="B21" s="6" t="s">
        <v>128</v>
      </c>
      <c r="C21" s="6" t="s">
        <v>109</v>
      </c>
      <c r="D21" s="12" t="n">
        <f aca="false">Assumptions!$B$22*0.04+Assumptions!$B$26*0.1</f>
        <v>0.417904761904762</v>
      </c>
      <c r="E21" s="13" t="n">
        <v>1</v>
      </c>
      <c r="F21" s="14" t="n">
        <v>1</v>
      </c>
      <c r="G21" s="13" t="n">
        <v>1</v>
      </c>
      <c r="H21" s="6" t="s">
        <v>129</v>
      </c>
      <c r="I21" s="14" t="n">
        <v>0.99</v>
      </c>
      <c r="J21" s="12" t="n">
        <f aca="false">D21*E21*F21*G21*(1-I21)</f>
        <v>0.00417904761904762</v>
      </c>
      <c r="K21" s="13" t="n">
        <v>0</v>
      </c>
      <c r="L21" s="6" t="s">
        <v>70</v>
      </c>
      <c r="M21" s="14" t="n">
        <v>0</v>
      </c>
      <c r="N21" s="12" t="n">
        <f aca="false">D21*E21*F21*K21*(1-M21)</f>
        <v>0</v>
      </c>
      <c r="O21" s="6" t="s">
        <v>130</v>
      </c>
    </row>
    <row r="22" customFormat="false" ht="39.55" hidden="false" customHeight="false" outlineLevel="0" collapsed="false">
      <c r="A22" s="6" t="s">
        <v>131</v>
      </c>
      <c r="B22" s="6" t="s">
        <v>132</v>
      </c>
      <c r="C22" s="6" t="s">
        <v>109</v>
      </c>
      <c r="D22" s="12" t="n">
        <f aca="false">Assumptions!$B$22*0.03+Assumptions!$B$26*0.05</f>
        <v>0.213428571428571</v>
      </c>
      <c r="E22" s="13" t="n">
        <v>1</v>
      </c>
      <c r="F22" s="14" t="n">
        <v>1</v>
      </c>
      <c r="G22" s="13" t="n">
        <v>1</v>
      </c>
      <c r="H22" s="6" t="s">
        <v>133</v>
      </c>
      <c r="I22" s="14" t="n">
        <v>0.99</v>
      </c>
      <c r="J22" s="12" t="n">
        <f aca="false">D22*E22*F22*G22*(1-I22)</f>
        <v>0.00213428571428572</v>
      </c>
      <c r="K22" s="13" t="n">
        <v>0</v>
      </c>
      <c r="L22" s="6" t="s">
        <v>70</v>
      </c>
      <c r="M22" s="14" t="n">
        <v>0</v>
      </c>
      <c r="N22" s="12" t="n">
        <f aca="false">D22*E22*F22*K22*(1-M22)</f>
        <v>0</v>
      </c>
      <c r="O22" s="6" t="s">
        <v>134</v>
      </c>
    </row>
    <row r="23" customFormat="false" ht="39.55" hidden="false" customHeight="false" outlineLevel="0" collapsed="false">
      <c r="A23" s="6" t="s">
        <v>135</v>
      </c>
      <c r="B23" s="6" t="s">
        <v>136</v>
      </c>
      <c r="C23" s="6" t="s">
        <v>109</v>
      </c>
      <c r="D23" s="12" t="n">
        <f aca="false">Assumptions!$B$22*0.02+Assumptions!$B$26*0.03</f>
        <v>0.128952380952381</v>
      </c>
      <c r="E23" s="13" t="n">
        <v>1</v>
      </c>
      <c r="F23" s="14" t="n">
        <v>1</v>
      </c>
      <c r="G23" s="13" t="n">
        <v>1</v>
      </c>
      <c r="H23" s="6" t="s">
        <v>137</v>
      </c>
      <c r="I23" s="14" t="n">
        <v>0.99</v>
      </c>
      <c r="J23" s="12" t="n">
        <f aca="false">D23*E23*F23*G23*(1-I23)</f>
        <v>0.00128952380952381</v>
      </c>
      <c r="K23" s="13" t="n">
        <v>0</v>
      </c>
      <c r="L23" s="6" t="s">
        <v>70</v>
      </c>
      <c r="M23" s="14" t="n">
        <v>0</v>
      </c>
      <c r="N23" s="12" t="n">
        <f aca="false">D23*E23*F23*K23*(1-M23)</f>
        <v>0</v>
      </c>
      <c r="O23" s="6" t="s">
        <v>138</v>
      </c>
    </row>
    <row r="24" customFormat="false" ht="39.55" hidden="false" customHeight="false" outlineLevel="0" collapsed="false">
      <c r="A24" s="6" t="s">
        <v>139</v>
      </c>
      <c r="B24" s="6" t="s">
        <v>140</v>
      </c>
      <c r="C24" s="6" t="s">
        <v>109</v>
      </c>
      <c r="D24" s="12" t="n">
        <f aca="false">Assumptions!$B$22*0.01+Assumptions!$B$26*0.02</f>
        <v>0.0844761904761905</v>
      </c>
      <c r="E24" s="13" t="n">
        <v>1</v>
      </c>
      <c r="F24" s="14" t="n">
        <v>1</v>
      </c>
      <c r="G24" s="13" t="n">
        <v>1</v>
      </c>
      <c r="H24" s="6" t="s">
        <v>141</v>
      </c>
      <c r="I24" s="14" t="n">
        <v>0.99</v>
      </c>
      <c r="J24" s="12" t="n">
        <f aca="false">D24*E24*F24*G24*(1-I24)</f>
        <v>0.000844761904761906</v>
      </c>
      <c r="K24" s="13" t="n">
        <v>0</v>
      </c>
      <c r="L24" s="6" t="s">
        <v>70</v>
      </c>
      <c r="M24" s="14" t="n">
        <v>0</v>
      </c>
      <c r="N24" s="12" t="n">
        <f aca="false">D24*E24*F24*K24*(1-M24)</f>
        <v>0</v>
      </c>
      <c r="O24" s="6" t="s">
        <v>142</v>
      </c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customFormat="false" ht="15" hidden="false" customHeight="false" outlineLevel="0" collapsed="false">
      <c r="A26" s="8" t="s">
        <v>143</v>
      </c>
      <c r="B26" s="2"/>
      <c r="C26" s="2"/>
      <c r="D26" s="15" t="n">
        <f aca="false">SUM(D4:D24)</f>
        <v>457.289619047619</v>
      </c>
      <c r="E26" s="2"/>
      <c r="F26" s="2"/>
      <c r="G26" s="2"/>
      <c r="H26" s="2"/>
      <c r="I26" s="2"/>
      <c r="J26" s="15" t="n">
        <f aca="false">SUM(J4:J24)</f>
        <v>0.438986761904759</v>
      </c>
      <c r="K26" s="2"/>
      <c r="L26" s="2"/>
      <c r="M26" s="2"/>
      <c r="N26" s="15" t="n">
        <f aca="false">SUM(N4:N24)</f>
        <v>0.000447619047619048</v>
      </c>
      <c r="O26" s="2"/>
    </row>
    <row r="27" customFormat="false" ht="15" hidden="false" customHeight="false" outlineLevel="0" collapsed="false">
      <c r="A27" s="9" t="s">
        <v>144</v>
      </c>
      <c r="B27" s="2"/>
      <c r="C27" s="2"/>
      <c r="D27" s="16" t="n">
        <f aca="false">SUMPRODUCT(D4:D24,E4:E24,F4:F24)</f>
        <v>457.034476190476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customFormat="false" ht="43.5" hidden="false" customHeight="true" outlineLevel="0" collapsed="false">
      <c r="A29" s="17" t="s">
        <v>145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</sheetData>
  <mergeCells count="2">
    <mergeCell ref="A1:O1"/>
    <mergeCell ref="A29:O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8" t="s">
        <v>146</v>
      </c>
      <c r="B1" s="18"/>
      <c r="C1" s="18"/>
      <c r="D1" s="18"/>
      <c r="E1" s="18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42" hidden="false" customHeight="true" outlineLevel="0" collapsed="false">
      <c r="A3" s="3" t="s">
        <v>147</v>
      </c>
      <c r="B3" s="3" t="s">
        <v>2</v>
      </c>
      <c r="C3" s="3" t="s">
        <v>148</v>
      </c>
      <c r="D3" s="3" t="s">
        <v>149</v>
      </c>
      <c r="E3" s="3" t="s">
        <v>150</v>
      </c>
    </row>
    <row r="4" customFormat="false" ht="15" hidden="false" customHeight="false" outlineLevel="0" collapsed="false">
      <c r="A4" s="4" t="s">
        <v>151</v>
      </c>
      <c r="B4" s="19" t="n">
        <f aca="false">FMEDA_core!$D$27</f>
        <v>457.034476190476</v>
      </c>
      <c r="C4" s="4"/>
      <c r="D4" s="4"/>
      <c r="E4" s="4"/>
    </row>
    <row r="5" customFormat="false" ht="15" hidden="false" customHeight="false" outlineLevel="0" collapsed="false">
      <c r="A5" s="4" t="s">
        <v>152</v>
      </c>
      <c r="B5" s="19" t="n">
        <f aca="false">FMEDA_core!$J$26</f>
        <v>0.438986761904759</v>
      </c>
      <c r="C5" s="4"/>
      <c r="D5" s="4"/>
      <c r="E5" s="4"/>
    </row>
    <row r="6" customFormat="false" ht="15" hidden="false" customHeight="false" outlineLevel="0" collapsed="false">
      <c r="A6" s="4" t="s">
        <v>153</v>
      </c>
      <c r="B6" s="19" t="n">
        <f aca="false">FMEDA_core!$N$26</f>
        <v>0.000447619047619048</v>
      </c>
      <c r="C6" s="4"/>
      <c r="D6" s="4"/>
      <c r="E6" s="4"/>
    </row>
    <row r="7" customFormat="false" ht="15" hidden="false" customHeight="false" outlineLevel="0" collapsed="false">
      <c r="A7" s="4" t="s">
        <v>154</v>
      </c>
      <c r="B7" s="20" t="n">
        <f aca="false">IF(B4&gt;0,1-B5/B4,0)</f>
        <v>0.999039488737122</v>
      </c>
      <c r="C7" s="20" t="n">
        <f aca="false">Assumptions!B14</f>
        <v>0.9</v>
      </c>
      <c r="D7" s="20" t="n">
        <f aca="false">Assumptions!B17</f>
        <v>0.99</v>
      </c>
      <c r="E7" s="4" t="str">
        <f aca="false">IF(B7&gt;=C7,"PASS","FAIL")</f>
        <v>PASS</v>
      </c>
    </row>
    <row r="8" customFormat="false" ht="15" hidden="false" customHeight="false" outlineLevel="0" collapsed="false">
      <c r="A8" s="4" t="s">
        <v>155</v>
      </c>
      <c r="B8" s="20" t="n">
        <f aca="false">IF(B4-B5&gt;0,1-B6/(B4-B5),0)</f>
        <v>0.999999019659506</v>
      </c>
      <c r="C8" s="20" t="n">
        <f aca="false">Assumptions!B15</f>
        <v>0.6</v>
      </c>
      <c r="D8" s="20" t="n">
        <f aca="false">Assumptions!B18</f>
        <v>0.9</v>
      </c>
      <c r="E8" s="4" t="str">
        <f aca="false">IF(B8&gt;=C8,"PASS","FAIL")</f>
        <v>PASS</v>
      </c>
    </row>
    <row r="9" customFormat="false" ht="15" hidden="false" customHeight="false" outlineLevel="0" collapsed="false">
      <c r="A9" s="4" t="s">
        <v>156</v>
      </c>
      <c r="B9" s="19" t="n">
        <f aca="false">B5+B6*B4*Assumptions!B13*0.000000001</f>
        <v>0.439013643366836</v>
      </c>
      <c r="C9" s="21" t="n">
        <f aca="false">Assumptions!B16</f>
        <v>100</v>
      </c>
      <c r="D9" s="21" t="n">
        <f aca="false">Assumptions!B19</f>
        <v>10</v>
      </c>
      <c r="E9" s="4" t="str">
        <f aca="false">IF(B9&lt;=C9,"PASS","FAIL")</f>
        <v>PASS</v>
      </c>
    </row>
    <row r="10" customFormat="false" ht="15" hidden="false" customHeight="false" outlineLevel="0" collapsed="false">
      <c r="A10" s="2"/>
      <c r="B10" s="2"/>
      <c r="C10" s="2"/>
      <c r="D10" s="2"/>
      <c r="E10" s="2"/>
    </row>
    <row r="11" customFormat="false" ht="43.5" hidden="false" customHeight="true" outlineLevel="0" collapsed="false">
      <c r="A11" s="17" t="s">
        <v>157</v>
      </c>
      <c r="B11" s="17"/>
      <c r="C11" s="17"/>
      <c r="D11" s="17"/>
      <c r="E11" s="17"/>
    </row>
  </sheetData>
  <mergeCells count="2">
    <mergeCell ref="A1:E1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9" min="7" style="0" width="14"/>
    <col collapsed="false" customWidth="true" hidden="false" outlineLevel="0" max="10" min="10" style="0" width="16"/>
    <col collapsed="false" customWidth="true" hidden="false" outlineLevel="0" max="11" min="11" style="0" width="50"/>
  </cols>
  <sheetData>
    <row r="1" customFormat="false" ht="60" hidden="false" customHeight="true" outlineLevel="0" collapsed="false">
      <c r="A1" s="1" t="s">
        <v>158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42" hidden="false" customHeight="true" outlineLevel="0" collapsed="false">
      <c r="A3" s="3" t="s">
        <v>159</v>
      </c>
      <c r="B3" s="3" t="s">
        <v>160</v>
      </c>
      <c r="C3" s="3" t="s">
        <v>161</v>
      </c>
      <c r="D3" s="3" t="s">
        <v>55</v>
      </c>
      <c r="E3" s="3" t="s">
        <v>162</v>
      </c>
      <c r="F3" s="3" t="s">
        <v>59</v>
      </c>
      <c r="G3" s="3" t="s">
        <v>163</v>
      </c>
      <c r="H3" s="3" t="s">
        <v>164</v>
      </c>
      <c r="I3" s="3" t="s">
        <v>165</v>
      </c>
      <c r="J3" s="3" t="s">
        <v>166</v>
      </c>
      <c r="K3" s="3" t="s">
        <v>167</v>
      </c>
    </row>
    <row r="4" customFormat="false" ht="39.55" hidden="false" customHeight="false" outlineLevel="0" collapsed="false">
      <c r="A4" s="4" t="s">
        <v>168</v>
      </c>
      <c r="B4" s="22" t="n">
        <v>64</v>
      </c>
      <c r="C4" s="23" t="n">
        <f aca="false">FMEDA_core!$D$27</f>
        <v>457.034476190476</v>
      </c>
      <c r="D4" s="19" t="n">
        <f aca="false">1-FMEDA_core!$J$26/FMEDA_core!$D$27</f>
        <v>0.999039488737122</v>
      </c>
      <c r="E4" s="23" t="n">
        <f aca="false">FMEDA_core!$N$26</f>
        <v>0.000447619047619048</v>
      </c>
      <c r="F4" s="19" t="n">
        <v>0</v>
      </c>
      <c r="G4" s="23" t="n">
        <f aca="false">B4*C4</f>
        <v>29250.2064761905</v>
      </c>
      <c r="H4" s="23" t="n">
        <f aca="false">B4*C4*(1-D4)</f>
        <v>28.095152761904</v>
      </c>
      <c r="I4" s="23" t="n">
        <f aca="false">B4*E4*(1-F4)</f>
        <v>0.028647619047619</v>
      </c>
      <c r="J4" s="23" t="n">
        <f aca="false">H4+I4*C4*Assumptions!$B$13*0.000000001</f>
        <v>28.096873175477</v>
      </c>
      <c r="K4" s="6" t="s">
        <v>169</v>
      </c>
    </row>
    <row r="5" customFormat="false" ht="52.2" hidden="false" customHeight="false" outlineLevel="0" collapsed="false">
      <c r="A5" s="4" t="s">
        <v>170</v>
      </c>
      <c r="B5" s="22" t="n">
        <v>1</v>
      </c>
      <c r="C5" s="23" t="n">
        <f aca="false">Assumptions!B7*1024</f>
        <v>614400</v>
      </c>
      <c r="D5" s="24" t="n">
        <v>0.99995</v>
      </c>
      <c r="E5" s="25" t="n">
        <v>2</v>
      </c>
      <c r="F5" s="24" t="n">
        <v>0.99</v>
      </c>
      <c r="G5" s="23" t="n">
        <f aca="false">B5*C5</f>
        <v>614400</v>
      </c>
      <c r="H5" s="23" t="n">
        <f aca="false">B5*C5*(1-D5)</f>
        <v>30.7199999999966</v>
      </c>
      <c r="I5" s="23" t="n">
        <f aca="false">B5*E5*(1-F5)</f>
        <v>0.02</v>
      </c>
      <c r="J5" s="23" t="n">
        <f aca="false">H5+I5*C5*Assumptions!$B$13*0.000000001</f>
        <v>32.3346431999966</v>
      </c>
      <c r="K5" s="6" t="s">
        <v>171</v>
      </c>
    </row>
    <row r="6" customFormat="false" ht="15" hidden="false" customHeight="false" outlineLevel="0" collapsed="false">
      <c r="A6" s="4" t="s">
        <v>172</v>
      </c>
      <c r="B6" s="22" t="n">
        <v>1</v>
      </c>
      <c r="C6" s="23" t="n">
        <f aca="false">Assumptions!B4*65/Assumptions!B5</f>
        <v>61.9047619047619</v>
      </c>
      <c r="D6" s="24" t="n">
        <v>0.999</v>
      </c>
      <c r="E6" s="25" t="n">
        <v>2</v>
      </c>
      <c r="F6" s="24" t="n">
        <v>0.99</v>
      </c>
      <c r="G6" s="23" t="n">
        <f aca="false">B6*C6</f>
        <v>61.9047619047619</v>
      </c>
      <c r="H6" s="23" t="n">
        <f aca="false">B6*C6*(1-D6)</f>
        <v>0.061904761904762</v>
      </c>
      <c r="I6" s="23" t="n">
        <f aca="false">B6*E6*(1-F6)</f>
        <v>0.02</v>
      </c>
      <c r="J6" s="23" t="n">
        <f aca="false">H6+I6*C6*Assumptions!$B$13*0.000000001</f>
        <v>0.0620674476190477</v>
      </c>
      <c r="K6" s="6" t="s">
        <v>173</v>
      </c>
    </row>
    <row r="7" customFormat="false" ht="26.85" hidden="false" customHeight="false" outlineLevel="0" collapsed="false">
      <c r="A7" s="4" t="s">
        <v>174</v>
      </c>
      <c r="B7" s="22" t="n">
        <v>1</v>
      </c>
      <c r="C7" s="23" t="n">
        <f aca="false">Assumptions!B4*20/Assumptions!B5</f>
        <v>19.047619047619</v>
      </c>
      <c r="D7" s="24" t="n">
        <v>0.99</v>
      </c>
      <c r="E7" s="25" t="n">
        <v>1</v>
      </c>
      <c r="F7" s="24" t="n">
        <v>0.9</v>
      </c>
      <c r="G7" s="23" t="n">
        <f aca="false">B7*C7</f>
        <v>19.047619047619</v>
      </c>
      <c r="H7" s="23" t="n">
        <f aca="false">B7*C7*(1-D7)</f>
        <v>0.190476190476191</v>
      </c>
      <c r="I7" s="23" t="n">
        <f aca="false">B7*E7*(1-F7)</f>
        <v>0.1</v>
      </c>
      <c r="J7" s="23" t="n">
        <f aca="false">H7+I7*C7*Assumptions!$B$13*0.000000001</f>
        <v>0.190726476190476</v>
      </c>
      <c r="K7" s="6" t="s">
        <v>175</v>
      </c>
    </row>
    <row r="8" customFormat="false" ht="15" hidden="false" customHeight="false" outlineLevel="0" collapsed="false">
      <c r="A8" s="4" t="s">
        <v>176</v>
      </c>
      <c r="B8" s="22" t="n">
        <v>1</v>
      </c>
      <c r="C8" s="23" t="n">
        <f aca="false">Assumptions!B4*5/Assumptions!B5</f>
        <v>4.76190476190476</v>
      </c>
      <c r="D8" s="24" t="n">
        <v>0.999</v>
      </c>
      <c r="E8" s="25" t="n">
        <v>0.5</v>
      </c>
      <c r="F8" s="24" t="n">
        <v>0.95</v>
      </c>
      <c r="G8" s="23" t="n">
        <f aca="false">B8*C8</f>
        <v>4.76190476190476</v>
      </c>
      <c r="H8" s="23" t="n">
        <f aca="false">B8*C8*(1-D8)</f>
        <v>0.00476190476190477</v>
      </c>
      <c r="I8" s="23" t="n">
        <f aca="false">B8*E8*(1-F8)</f>
        <v>0.025</v>
      </c>
      <c r="J8" s="23" t="n">
        <f aca="false">H8+I8*C8*Assumptions!$B$13*0.000000001</f>
        <v>0.00477754761904762</v>
      </c>
      <c r="K8" s="6" t="s">
        <v>177</v>
      </c>
    </row>
    <row r="9" customFormat="false" ht="15" hidden="false" customHeight="false" outlineLevel="0" collapsed="false">
      <c r="A9" s="4" t="s">
        <v>178</v>
      </c>
      <c r="B9" s="22" t="n">
        <v>1</v>
      </c>
      <c r="C9" s="23" t="n">
        <f aca="false">Assumptions!B4*24/Assumptions!B5</f>
        <v>22.8571428571429</v>
      </c>
      <c r="D9" s="24" t="n">
        <v>0.99</v>
      </c>
      <c r="E9" s="25" t="n">
        <v>1</v>
      </c>
      <c r="F9" s="24" t="n">
        <v>0.9</v>
      </c>
      <c r="G9" s="23" t="n">
        <f aca="false">B9*C9</f>
        <v>22.8571428571429</v>
      </c>
      <c r="H9" s="23" t="n">
        <f aca="false">B9*C9*(1-D9)</f>
        <v>0.228571428571429</v>
      </c>
      <c r="I9" s="23" t="n">
        <f aca="false">B9*E9*(1-F9)</f>
        <v>0.1</v>
      </c>
      <c r="J9" s="23" t="n">
        <f aca="false">H9+I9*C9*Assumptions!$B$13*0.000000001</f>
        <v>0.228871771428572</v>
      </c>
      <c r="K9" s="6" t="s">
        <v>179</v>
      </c>
    </row>
    <row r="10" customFormat="false" ht="15" hidden="false" customHeight="false" outlineLevel="0" collapsed="false">
      <c r="A10" s="4" t="s">
        <v>180</v>
      </c>
      <c r="B10" s="22" t="n">
        <v>1</v>
      </c>
      <c r="C10" s="23" t="n">
        <f aca="false">Assumptions!B4*27/Assumptions!B5</f>
        <v>25.7142857142857</v>
      </c>
      <c r="D10" s="24" t="n">
        <v>0.98</v>
      </c>
      <c r="E10" s="25" t="n">
        <v>1.5</v>
      </c>
      <c r="F10" s="24" t="n">
        <v>0.9</v>
      </c>
      <c r="G10" s="23" t="n">
        <f aca="false">B10*C10</f>
        <v>25.7142857142857</v>
      </c>
      <c r="H10" s="23" t="n">
        <f aca="false">B10*C10*(1-D10)</f>
        <v>0.514285714285715</v>
      </c>
      <c r="I10" s="23" t="n">
        <f aca="false">B10*E10*(1-F10)</f>
        <v>0.15</v>
      </c>
      <c r="J10" s="23" t="n">
        <f aca="false">H10+I10*C10*Assumptions!$B$13*0.000000001</f>
        <v>0.514792542857143</v>
      </c>
      <c r="K10" s="6" t="s">
        <v>181</v>
      </c>
    </row>
    <row r="11" customFormat="false" ht="15" hidden="false" customHeight="false" outlineLevel="0" collapsed="false">
      <c r="A11" s="4" t="s">
        <v>182</v>
      </c>
      <c r="B11" s="22" t="n">
        <v>1</v>
      </c>
      <c r="C11" s="23" t="n">
        <f aca="false">Assumptions!B4*9/Assumptions!B5</f>
        <v>8.57142857142857</v>
      </c>
      <c r="D11" s="24" t="n">
        <v>0.9</v>
      </c>
      <c r="E11" s="25" t="n">
        <v>0.5</v>
      </c>
      <c r="F11" s="24" t="n">
        <v>0.9</v>
      </c>
      <c r="G11" s="23" t="n">
        <f aca="false">B11*C11</f>
        <v>8.57142857142857</v>
      </c>
      <c r="H11" s="23" t="n">
        <f aca="false">B11*C11*(1-D11)</f>
        <v>0.857142857142857</v>
      </c>
      <c r="I11" s="23" t="n">
        <f aca="false">B11*E11*(1-F11)</f>
        <v>0.05</v>
      </c>
      <c r="J11" s="23" t="n">
        <f aca="false">H11+I11*C11*Assumptions!$B$13*0.000000001</f>
        <v>0.857199171428571</v>
      </c>
      <c r="K11" s="6" t="s">
        <v>183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customFormat="false" ht="15" hidden="false" customHeight="false" outlineLevel="0" collapsed="false">
      <c r="A13" s="8" t="s">
        <v>143</v>
      </c>
      <c r="B13" s="2"/>
      <c r="C13" s="2"/>
      <c r="D13" s="2"/>
      <c r="E13" s="2"/>
      <c r="F13" s="2"/>
      <c r="G13" s="26" t="n">
        <f aca="false">SUM(G4:G11)</f>
        <v>643793.063619048</v>
      </c>
      <c r="H13" s="26" t="n">
        <f aca="false">SUM(H4:H11)</f>
        <v>60.6722956190435</v>
      </c>
      <c r="I13" s="26" t="n">
        <f aca="false">SUM(I4:I11)</f>
        <v>0.493647619047619</v>
      </c>
      <c r="J13" s="26" t="n">
        <f aca="false">SUM(J4:J11)</f>
        <v>62.2899513326164</v>
      </c>
      <c r="K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customFormat="false" ht="15" hidden="false" customHeight="false" outlineLevel="0" collapsed="false">
      <c r="A15" s="4" t="s">
        <v>184</v>
      </c>
      <c r="B15" s="27" t="n">
        <f aca="false">IF(G13&gt;0,1-H13/G13,0)</f>
        <v>0.999905758078104</v>
      </c>
      <c r="C15" s="2"/>
      <c r="D15" s="2"/>
      <c r="E15" s="2"/>
      <c r="F15" s="2"/>
      <c r="G15" s="2"/>
      <c r="H15" s="2"/>
      <c r="I15" s="2"/>
      <c r="J15" s="2"/>
      <c r="K15" s="2"/>
    </row>
    <row r="16" customFormat="false" ht="15" hidden="false" customHeight="false" outlineLevel="0" collapsed="false">
      <c r="A16" s="4" t="s">
        <v>185</v>
      </c>
      <c r="B16" s="27" t="n">
        <f aca="false">IF(G13-H13&gt;0,1-I13/(G13-H13),0)</f>
        <v>0.999999233147771</v>
      </c>
      <c r="C16" s="2"/>
      <c r="D16" s="2"/>
      <c r="E16" s="2"/>
      <c r="F16" s="2"/>
      <c r="G16" s="2"/>
      <c r="H16" s="2"/>
      <c r="I16" s="2"/>
      <c r="J16" s="2"/>
      <c r="K16" s="2"/>
    </row>
    <row r="17" customFormat="false" ht="15" hidden="false" customHeight="false" outlineLevel="0" collapsed="false">
      <c r="A17" s="4" t="s">
        <v>186</v>
      </c>
      <c r="B17" s="28" t="n">
        <f aca="false">J13</f>
        <v>62.2899513326164</v>
      </c>
      <c r="C17" s="2"/>
      <c r="D17" s="2"/>
      <c r="E17" s="2"/>
      <c r="F17" s="2"/>
      <c r="G17" s="2"/>
      <c r="H17" s="2"/>
      <c r="I17" s="2"/>
      <c r="J17" s="2"/>
      <c r="K17" s="2"/>
    </row>
    <row r="18" customFormat="false" ht="15" hidden="false" customHeight="false" outlineLevel="0" collapsed="false">
      <c r="A18" s="4" t="s">
        <v>187</v>
      </c>
      <c r="B18" s="4" t="str">
        <f aca="false">IF(AND(B15&gt;=Assumptions!B14,B16&gt;=Assumptions!B15,B17&lt;=Assumptions!B16),"PASS","FAIL")</f>
        <v>PASS</v>
      </c>
      <c r="C18" s="2"/>
      <c r="D18" s="2"/>
      <c r="E18" s="2"/>
      <c r="F18" s="2"/>
      <c r="G18" s="2"/>
      <c r="H18" s="2"/>
      <c r="I18" s="2"/>
      <c r="J18" s="2"/>
      <c r="K18" s="2"/>
    </row>
    <row r="19" customFormat="false" ht="15" hidden="false" customHeight="false" outlineLevel="0" collapsed="false">
      <c r="A19" s="4" t="s">
        <v>188</v>
      </c>
      <c r="B19" s="4" t="str">
        <f aca="false">IF(AND(B15&gt;=Assumptions!B17,B16&gt;=Assumptions!B18,B17&lt;=Assumptions!B19),"PASS","FAIL")</f>
        <v>FAIL</v>
      </c>
      <c r="C19" s="2"/>
      <c r="D19" s="2"/>
      <c r="E19" s="2"/>
      <c r="F19" s="2"/>
      <c r="G19" s="2"/>
      <c r="H19" s="2"/>
      <c r="I19" s="2"/>
      <c r="J19" s="2"/>
      <c r="K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customFormat="false" ht="48" hidden="false" customHeight="true" outlineLevel="0" collapsed="false">
      <c r="A21" s="17" t="s">
        <v>189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</sheetData>
  <mergeCells count="2">
    <mergeCell ref="A1:K1"/>
    <mergeCell ref="A21:K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50"/>
    <col collapsed="false" customWidth="true" hidden="false" outlineLevel="0" max="3" min="3" style="0" width="20"/>
    <col collapsed="false" customWidth="true" hidden="false" outlineLevel="0" max="4" min="4" style="0" width="52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0" t="s">
        <v>190</v>
      </c>
    </row>
    <row r="2" customFormat="false" ht="15" hidden="false" customHeight="false" outlineLevel="0" collapsed="false">
      <c r="A2" s="0" t="s">
        <v>191</v>
      </c>
      <c r="B2" s="0" t="s">
        <v>192</v>
      </c>
      <c r="C2" s="0" t="s">
        <v>193</v>
      </c>
      <c r="D2" s="0" t="s">
        <v>194</v>
      </c>
      <c r="E2" s="0" t="s">
        <v>195</v>
      </c>
    </row>
    <row r="3" customFormat="false" ht="15" hidden="false" customHeight="false" outlineLevel="0" collapsed="false">
      <c r="A3" s="0" t="s">
        <v>196</v>
      </c>
      <c r="B3" s="0" t="s">
        <v>197</v>
      </c>
      <c r="C3" s="0" t="s">
        <v>198</v>
      </c>
      <c r="D3" s="0" t="s">
        <v>199</v>
      </c>
      <c r="E3" s="0" t="s">
        <v>200</v>
      </c>
    </row>
    <row r="4" customFormat="false" ht="15" hidden="false" customHeight="false" outlineLevel="0" collapsed="false">
      <c r="A4" s="0" t="s">
        <v>201</v>
      </c>
      <c r="B4" s="0" t="s">
        <v>202</v>
      </c>
      <c r="C4" s="0" t="s">
        <v>203</v>
      </c>
      <c r="D4" s="0" t="s">
        <v>204</v>
      </c>
      <c r="E4" s="0" t="s">
        <v>205</v>
      </c>
    </row>
    <row r="5" customFormat="false" ht="15" hidden="false" customHeight="false" outlineLevel="0" collapsed="false">
      <c r="A5" s="0" t="s">
        <v>206</v>
      </c>
      <c r="B5" s="0" t="s">
        <v>207</v>
      </c>
      <c r="C5" s="0" t="s">
        <v>208</v>
      </c>
      <c r="D5" s="0" t="s">
        <v>209</v>
      </c>
      <c r="E5" s="0" t="s">
        <v>210</v>
      </c>
    </row>
    <row r="6" customFormat="false" ht="15" hidden="false" customHeight="false" outlineLevel="0" collapsed="false">
      <c r="A6" s="0" t="s">
        <v>211</v>
      </c>
      <c r="B6" s="0" t="s">
        <v>212</v>
      </c>
      <c r="C6" s="0" t="s">
        <v>213</v>
      </c>
      <c r="D6" s="0" t="s">
        <v>209</v>
      </c>
      <c r="E6" s="0" t="s">
        <v>214</v>
      </c>
    </row>
    <row r="7" customFormat="false" ht="15" hidden="false" customHeight="false" outlineLevel="0" collapsed="false">
      <c r="A7" s="0" t="s">
        <v>215</v>
      </c>
      <c r="B7" s="0" t="s">
        <v>216</v>
      </c>
      <c r="C7" s="0" t="s">
        <v>217</v>
      </c>
      <c r="D7" s="0" t="s">
        <v>209</v>
      </c>
      <c r="E7" s="0" t="s">
        <v>214</v>
      </c>
    </row>
    <row r="8" customFormat="false" ht="15" hidden="false" customHeight="false" outlineLevel="0" collapsed="false">
      <c r="A8" s="0" t="s">
        <v>218</v>
      </c>
      <c r="B8" s="0" t="s">
        <v>219</v>
      </c>
      <c r="C8" s="0" t="s">
        <v>220</v>
      </c>
      <c r="D8" s="0" t="s">
        <v>221</v>
      </c>
      <c r="E8" s="0" t="s">
        <v>222</v>
      </c>
    </row>
    <row r="9" customFormat="false" ht="15" hidden="false" customHeight="false" outlineLevel="0" collapsed="false">
      <c r="A9" s="0" t="s">
        <v>223</v>
      </c>
      <c r="B9" s="0" t="s">
        <v>224</v>
      </c>
      <c r="C9" s="0" t="s">
        <v>225</v>
      </c>
      <c r="D9" s="0" t="s">
        <v>221</v>
      </c>
      <c r="E9" s="0" t="s">
        <v>222</v>
      </c>
    </row>
    <row r="10" customFormat="false" ht="15" hidden="false" customHeight="false" outlineLevel="0" collapsed="false">
      <c r="A10" s="0" t="s">
        <v>226</v>
      </c>
      <c r="B10" s="0" t="s">
        <v>227</v>
      </c>
      <c r="C10" s="0" t="s">
        <v>228</v>
      </c>
      <c r="D10" s="0" t="s">
        <v>229</v>
      </c>
      <c r="E10" s="0" t="s">
        <v>210</v>
      </c>
    </row>
    <row r="11" customFormat="false" ht="15" hidden="false" customHeight="false" outlineLevel="0" collapsed="false">
      <c r="A11" s="0" t="s">
        <v>230</v>
      </c>
      <c r="B11" s="0" t="s">
        <v>231</v>
      </c>
      <c r="C11" s="0" t="s">
        <v>232</v>
      </c>
      <c r="D11" s="0" t="s">
        <v>233</v>
      </c>
      <c r="E11" s="0" t="s">
        <v>234</v>
      </c>
    </row>
    <row r="12" customFormat="false" ht="15" hidden="false" customHeight="false" outlineLevel="0" collapsed="false">
      <c r="A12" s="0" t="s">
        <v>235</v>
      </c>
      <c r="B12" s="0" t="s">
        <v>236</v>
      </c>
      <c r="C12" s="0" t="s">
        <v>237</v>
      </c>
      <c r="D12" s="0" t="s">
        <v>233</v>
      </c>
      <c r="E12" s="0" t="s">
        <v>238</v>
      </c>
    </row>
    <row r="13" customFormat="false" ht="15" hidden="false" customHeight="false" outlineLevel="0" collapsed="false">
      <c r="A13" s="0" t="s">
        <v>239</v>
      </c>
      <c r="B13" s="0" t="s">
        <v>240</v>
      </c>
      <c r="C13" s="0" t="s">
        <v>241</v>
      </c>
      <c r="D13" s="0" t="s">
        <v>233</v>
      </c>
      <c r="E13" s="0" t="s">
        <v>222</v>
      </c>
    </row>
    <row r="14" customFormat="false" ht="15" hidden="false" customHeight="false" outlineLevel="0" collapsed="false">
      <c r="A14" s="0" t="s">
        <v>242</v>
      </c>
      <c r="B14" s="0" t="s">
        <v>243</v>
      </c>
      <c r="C14" s="0" t="s">
        <v>244</v>
      </c>
      <c r="D14" s="0" t="s">
        <v>233</v>
      </c>
      <c r="E14" s="0" t="s">
        <v>222</v>
      </c>
    </row>
    <row r="15" customFormat="false" ht="15" hidden="false" customHeight="false" outlineLevel="0" collapsed="false">
      <c r="A15" s="0" t="s">
        <v>245</v>
      </c>
      <c r="B15" s="0" t="s">
        <v>246</v>
      </c>
      <c r="C15" s="0" t="s">
        <v>247</v>
      </c>
      <c r="D15" s="0" t="s">
        <v>233</v>
      </c>
      <c r="E15" s="0" t="s">
        <v>238</v>
      </c>
    </row>
    <row r="16" customFormat="false" ht="15" hidden="false" customHeight="false" outlineLevel="0" collapsed="false">
      <c r="A16" s="0" t="s">
        <v>248</v>
      </c>
      <c r="B16" s="0" t="s">
        <v>249</v>
      </c>
      <c r="C16" s="0" t="s">
        <v>250</v>
      </c>
      <c r="D16" s="0" t="s">
        <v>233</v>
      </c>
      <c r="E16" s="0" t="s">
        <v>222</v>
      </c>
    </row>
    <row r="17" customFormat="false" ht="15" hidden="false" customHeight="false" outlineLevel="0" collapsed="false">
      <c r="A17" s="0" t="s">
        <v>251</v>
      </c>
      <c r="B17" s="0" t="s">
        <v>252</v>
      </c>
      <c r="C17" s="0" t="s">
        <v>253</v>
      </c>
      <c r="D17" s="0" t="s">
        <v>254</v>
      </c>
      <c r="E17" s="0" t="s">
        <v>255</v>
      </c>
    </row>
    <row r="18" customFormat="false" ht="15" hidden="false" customHeight="false" outlineLevel="0" collapsed="false">
      <c r="A18" s="0" t="s">
        <v>256</v>
      </c>
      <c r="B18" s="0" t="s">
        <v>257</v>
      </c>
      <c r="C18" s="0" t="s">
        <v>258</v>
      </c>
      <c r="D18" s="0" t="s">
        <v>259</v>
      </c>
      <c r="E18" s="0" t="s">
        <v>238</v>
      </c>
    </row>
    <row r="19" customFormat="false" ht="15" hidden="false" customHeight="false" outlineLevel="0" collapsed="false">
      <c r="A19" s="0" t="s">
        <v>260</v>
      </c>
      <c r="B19" s="0" t="s">
        <v>261</v>
      </c>
      <c r="C19" s="0" t="s">
        <v>262</v>
      </c>
      <c r="D19" s="0" t="s">
        <v>263</v>
      </c>
      <c r="E19" s="0" t="s">
        <v>255</v>
      </c>
    </row>
    <row r="20" customFormat="false" ht="15" hidden="false" customHeight="false" outlineLevel="0" collapsed="false">
      <c r="A20" s="0" t="s">
        <v>264</v>
      </c>
      <c r="B20" s="0" t="s">
        <v>265</v>
      </c>
      <c r="C20" s="0" t="s">
        <v>266</v>
      </c>
      <c r="D20" s="0" t="s">
        <v>266</v>
      </c>
      <c r="E20" s="0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2026-10-04T20:06:42Z</dcterms:created>
  <dc:creator>openpyxl</dc:creator>
  <dc:description/>
  <dc:language>en-US</dc:language>
  <cp:lastModifiedBy/>
  <dcterms:modified xsi:type="dcterms:W3CDTF">2026-10-04T20:06:42Z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
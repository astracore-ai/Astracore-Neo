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MEDA_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Chip_rollup" sheetId="4" state="visible" r:id="rId4"/>
    <sheet xmlns:r="http://schemas.openxmlformats.org/officeDocument/2006/relationships" name="Evid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%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i val="1"/>
    </font>
    <font>
      <name val="Arial"/>
      <color theme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9" fontId="4" fillId="3" borderId="1" pivotButton="0" quotePrefix="0" xfId="0"/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5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1" fillId="0" borderId="0" pivotButton="0" quotePrefix="0" xfId="0"/>
    <xf numFmtId="165" fontId="3" fillId="0" borderId="0" pivotButton="0" quotePrefix="0" xfId="0"/>
    <xf numFmtId="0" fontId="5" fillId="0" borderId="0" applyAlignment="1" pivotButton="0" quotePrefix="0" xfId="0">
      <alignment vertical="top" wrapText="1"/>
    </xf>
    <xf numFmtId="165" fontId="3" fillId="0" borderId="1" pivotButton="0" quotePrefix="0" xfId="0"/>
    <xf numFmtId="10" fontId="3" fillId="0" borderId="1" pivotButton="0" quotePrefix="0" xfId="0"/>
    <xf numFmtId="1" fontId="3" fillId="0" borderId="1" pivotButton="0" quotePrefix="0" xfId="0"/>
    <xf numFmtId="0" fontId="4" fillId="0" borderId="1" pivotButton="0" quotePrefix="0" xfId="0"/>
    <xf numFmtId="164" fontId="3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4" fontId="1" fillId="0" borderId="0" pivotButton="0" quotePrefix="0" xfId="0"/>
    <xf numFmtId="166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70" customWidth="1" min="4" max="4"/>
  </cols>
  <sheetData>
    <row r="1" ht="48" customHeight="1">
      <c r="A1" s="1" t="inlineStr">
        <is>
          <t>AstraCore Neo FMEDA skeleton, drop 0.3 (2026-10-04). Blue cells are inputs; yellow cells are assumptions to be replaced by foundry base-failure-rate and soft-error data (ISO 26262-11, SN 29500 or IEC 62380) before the phase-1 FMEDA v1.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 ht="42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Source / note</t>
        </is>
      </c>
    </row>
    <row r="4">
      <c r="A4" s="4" t="inlineStr">
        <is>
          <t>Die permanent base failure rate (whole 210 mm² die)</t>
        </is>
      </c>
      <c r="B4" s="5" t="n">
        <v>200</v>
      </c>
      <c r="C4" s="4" t="inlineStr">
        <is>
          <t>FIT</t>
        </is>
      </c>
      <c r="D4" s="6" t="inlineStr">
        <is>
          <t>Assumption, order of magnitude for a large N5-class automotive die; replace with foundry data</t>
        </is>
      </c>
    </row>
    <row r="5">
      <c r="A5" s="4" t="inlineStr">
        <is>
          <t>Die area</t>
        </is>
      </c>
      <c r="B5" s="5" t="n">
        <v>210</v>
      </c>
      <c r="C5" s="4" t="inlineStr">
        <is>
          <t>mm²</t>
        </is>
      </c>
      <c r="D5" s="6" t="inlineStr">
        <is>
          <t>Spec v2.0 physical estimate</t>
        </is>
      </c>
    </row>
    <row r="6">
      <c r="A6" s="4" t="inlineStr">
        <is>
          <t>MAC core area incl. buffers (one core)</t>
        </is>
      </c>
      <c r="B6" s="5" t="n">
        <v>0.47</v>
      </c>
      <c r="C6" s="4" t="inlineStr">
        <is>
          <t>mm²</t>
        </is>
      </c>
      <c r="D6" s="6" t="inlineStr">
        <is>
          <t>30 mm² for 64 cores from the die estimate</t>
        </is>
      </c>
    </row>
    <row r="7">
      <c r="A7" s="4" t="inlineStr">
        <is>
          <t>SRAM soft-error rate</t>
        </is>
      </c>
      <c r="B7" s="5" t="n">
        <v>600</v>
      </c>
      <c r="C7" s="4" t="inlineStr">
        <is>
          <t>FIT/Mbit</t>
        </is>
      </c>
      <c r="D7" s="6" t="inlineStr">
        <is>
          <t>Assumption; replace with foundry SER at ground level, Grade 2 mission profile</t>
        </is>
      </c>
    </row>
    <row r="8">
      <c r="A8" s="4" t="inlineStr">
        <is>
          <t>Flip-flop soft-error rate</t>
        </is>
      </c>
      <c r="B8" s="5" t="n">
        <v>100</v>
      </c>
      <c r="C8" s="4" t="inlineStr">
        <is>
          <t>FIT/Mbit</t>
        </is>
      </c>
      <c r="D8" s="6" t="inlineStr">
        <is>
          <t>Assumption; replace with foundry SER</t>
        </is>
      </c>
    </row>
    <row r="9">
      <c r="A9" s="4" t="inlineStr">
        <is>
          <t>Accumulator SRAM per core</t>
        </is>
      </c>
      <c r="B9" s="5" t="n">
        <v>0.5</v>
      </c>
      <c r="C9" s="4" t="inlineStr">
        <is>
          <t>Mbit</t>
        </is>
      </c>
      <c r="D9" s="6" t="inlineStr">
        <is>
          <t>512 rows × 32 columns × 32 bit = 64 KB</t>
        </is>
      </c>
    </row>
    <row r="10">
      <c r="A10" s="4" t="inlineStr">
        <is>
          <t>Activation buffer SRAM per core</t>
        </is>
      </c>
      <c r="B10" s="5" t="n">
        <v>0.25</v>
      </c>
      <c r="C10" s="4" t="inlineStr">
        <is>
          <t>Mbit</t>
        </is>
      </c>
      <c r="D10" s="6" t="inlineStr">
        <is>
          <t>4096 pixels × 32 channels × 8 bit = 32 KB</t>
        </is>
      </c>
    </row>
    <row r="11">
      <c r="A11" s="4" t="inlineStr">
        <is>
          <t>Weight registers per core (active + shadow)</t>
        </is>
      </c>
      <c r="B11" s="5" t="n">
        <v>0.0176</v>
      </c>
      <c r="C11" s="4" t="inlineStr">
        <is>
          <t>Mbit</t>
        </is>
      </c>
      <c r="D11" s="6" t="inlineStr">
        <is>
          <t>2 × 1056 PEs × 8.3 bit average incl. check column</t>
        </is>
      </c>
    </row>
    <row r="12">
      <c r="A12" s="4" t="inlineStr">
        <is>
          <t>Pipeline and control flops per core</t>
        </is>
      </c>
      <c r="B12" s="5" t="n">
        <v>0.04</v>
      </c>
      <c r="C12" s="4" t="inlineStr">
        <is>
          <t>Mbit</t>
        </is>
      </c>
      <c r="D12" s="6" t="inlineStr">
        <is>
          <t>x/psum/token registers, skew and deskew, feeder, accumulator read registers</t>
        </is>
      </c>
    </row>
    <row r="13">
      <c r="A13" s="4" t="inlineStr">
        <is>
          <t>Mission lifetime</t>
        </is>
      </c>
      <c r="B13" s="5" t="n">
        <v>131400</v>
      </c>
      <c r="C13" s="4" t="inlineStr">
        <is>
          <t>h</t>
        </is>
      </c>
      <c r="D13" s="6" t="inlineStr">
        <is>
          <t>15 years × 8,760 h; vehicle operating hours are lower, kept conservative</t>
        </is>
      </c>
    </row>
    <row r="14">
      <c r="A14" s="4" t="inlineStr">
        <is>
          <t>ASIL-B(D) target SPFM</t>
        </is>
      </c>
      <c r="B14" s="7" t="n">
        <v>0.9</v>
      </c>
      <c r="C14" s="4" t="inlineStr"/>
      <c r="D14" s="6" t="inlineStr">
        <is>
          <t>ISO 26262-5 Table 4</t>
        </is>
      </c>
    </row>
    <row r="15">
      <c r="A15" s="4" t="inlineStr">
        <is>
          <t>ASIL-B(D) target LFM</t>
        </is>
      </c>
      <c r="B15" s="7" t="n">
        <v>0.6</v>
      </c>
      <c r="C15" s="4" t="inlineStr"/>
      <c r="D15" s="6" t="inlineStr">
        <is>
          <t>ISO 26262-5 Table 5</t>
        </is>
      </c>
    </row>
    <row r="16">
      <c r="A16" s="4" t="inlineStr">
        <is>
          <t>ASIL-B(D) target PMHF</t>
        </is>
      </c>
      <c r="B16" s="5" t="n">
        <v>100</v>
      </c>
      <c r="C16" s="4" t="inlineStr">
        <is>
          <t>FIT</t>
        </is>
      </c>
      <c r="D16" s="6" t="inlineStr">
        <is>
          <t>ISO 26262-5 Table 6</t>
        </is>
      </c>
    </row>
    <row r="17">
      <c r="A17" s="4" t="inlineStr">
        <is>
          <t>ASIL-D target SPFM</t>
        </is>
      </c>
      <c r="B17" s="7" t="n">
        <v>0.99</v>
      </c>
      <c r="C17" s="4" t="inlineStr"/>
      <c r="D17" s="6" t="inlineStr">
        <is>
          <t>ISO 26262-5 Table 4</t>
        </is>
      </c>
    </row>
    <row r="18">
      <c r="A18" s="4" t="inlineStr">
        <is>
          <t>ASIL-D target LFM</t>
        </is>
      </c>
      <c r="B18" s="7" t="n">
        <v>0.9</v>
      </c>
      <c r="C18" s="4" t="inlineStr"/>
      <c r="D18" s="6" t="inlineStr">
        <is>
          <t>ISO 26262-5 Table 5</t>
        </is>
      </c>
    </row>
    <row r="19">
      <c r="A19" s="4" t="inlineStr">
        <is>
          <t>ASIL-D target PMHF</t>
        </is>
      </c>
      <c r="B19" s="5" t="n">
        <v>10</v>
      </c>
      <c r="C19" s="4" t="inlineStr">
        <is>
          <t>FIT</t>
        </is>
      </c>
      <c r="D19" s="6" t="inlineStr">
        <is>
          <t>ISO 26262-5 Table 6</t>
        </is>
      </c>
    </row>
    <row r="20">
      <c r="A20" s="2" t="n"/>
      <c r="B20" s="2" t="n"/>
      <c r="C20" s="2" t="n"/>
      <c r="D20" s="2" t="n"/>
    </row>
    <row r="21">
      <c r="A21" s="8" t="inlineStr">
        <is>
          <t>Derived (formulas)</t>
        </is>
      </c>
      <c r="B21" s="2" t="n"/>
      <c r="C21" s="2" t="n"/>
      <c r="D21" s="2" t="n"/>
    </row>
    <row r="22">
      <c r="A22" s="9" t="inlineStr">
        <is>
          <t>Permanent failure rate of one MAC core</t>
        </is>
      </c>
      <c r="B22" s="10">
        <f>B4*B6/B5</f>
        <v/>
      </c>
      <c r="C22" s="9" t="inlineStr">
        <is>
          <t>FIT</t>
        </is>
      </c>
      <c r="D22" s="2" t="n"/>
    </row>
    <row r="23">
      <c r="A23" s="9" t="inlineStr">
        <is>
          <t>Transient failure rate, accumulator SRAM</t>
        </is>
      </c>
      <c r="B23" s="10">
        <f>B7*B9</f>
        <v/>
      </c>
      <c r="C23" s="9" t="inlineStr">
        <is>
          <t>FIT</t>
        </is>
      </c>
      <c r="D23" s="2" t="n"/>
    </row>
    <row r="24">
      <c r="A24" s="9" t="inlineStr">
        <is>
          <t>Transient failure rate, activation buffer SRAM</t>
        </is>
      </c>
      <c r="B24" s="10">
        <f>B7*B10</f>
        <v/>
      </c>
      <c r="C24" s="9" t="inlineStr">
        <is>
          <t>FIT</t>
        </is>
      </c>
      <c r="D24" s="2" t="n"/>
    </row>
    <row r="25">
      <c r="A25" s="9" t="inlineStr">
        <is>
          <t>Transient failure rate, weight registers</t>
        </is>
      </c>
      <c r="B25" s="10">
        <f>B8*B11</f>
        <v/>
      </c>
      <c r="C25" s="9" t="inlineStr">
        <is>
          <t>FIT</t>
        </is>
      </c>
      <c r="D25" s="2" t="n"/>
    </row>
    <row r="26">
      <c r="A26" s="9" t="inlineStr">
        <is>
          <t>Transient failure rate, pipeline and control flops</t>
        </is>
      </c>
      <c r="B26" s="10">
        <f>B8*B12</f>
        <v/>
      </c>
      <c r="C26" s="9" t="inlineStr">
        <is>
          <t>FIT</t>
        </is>
      </c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11" t="inlineStr">
        <is>
          <t>Legend: blue = input you may edit; yellow = assumption to replace with sourced data; black = formula. Edit only blue cells.</t>
        </is>
      </c>
      <c r="B29" s="2" t="n"/>
      <c r="C29" s="2" t="n"/>
      <c r="D29" s="2" t="n"/>
    </row>
  </sheetData>
  <mergeCells count="2">
    <mergeCell ref="A1:D1"/>
    <mergeCell ref="A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4" customWidth="1" min="8" max="8"/>
    <col width="9" customWidth="1" min="9" max="9"/>
    <col width="12" customWidth="1" min="10" max="10"/>
    <col width="12" customWidth="1" min="11" max="11"/>
    <col width="30" customWidth="1" min="12" max="12"/>
    <col width="9" customWidth="1" min="13" max="13"/>
    <col width="12" customWidth="1" min="14" max="14"/>
    <col width="40" customWidth="1" min="15" max="15"/>
  </cols>
  <sheetData>
    <row r="1" ht="48" customHeight="1">
      <c r="A1" s="1" t="inlineStr">
        <is>
          <t>FMEDA v1 (drop 0.13), one MAC core (neo_mac_core_v02) as a safety element out of context. Safety goal assumed: no undetected wrong inference result leaves the core within the FTTI. Rows marked 'today' describe the v0.2 RTL; rows marked 'planned' name the mechanism the architecture commits to.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42" customHeight="1">
      <c r="A3" s="3" t="inlineStr">
        <is>
          <t>Block</t>
        </is>
      </c>
      <c r="B3" s="3" t="inlineStr">
        <is>
          <t>Failure mode</t>
        </is>
      </c>
      <c r="C3" s="3" t="inlineStr">
        <is>
          <t>Fault type</t>
        </is>
      </c>
      <c r="D3" s="3" t="inlineStr">
        <is>
          <t>λ (FIT)</t>
        </is>
      </c>
      <c r="E3" s="3" t="inlineStr">
        <is>
          <t>Safety related (1/0)</t>
        </is>
      </c>
      <c r="F3" s="3" t="inlineStr">
        <is>
          <t>FMD (fraction)</t>
        </is>
      </c>
      <c r="G3" s="3" t="inlineStr">
        <is>
          <t>SPF-relevant: violates SG alone (1/0)</t>
        </is>
      </c>
      <c r="H3" s="3" t="inlineStr">
        <is>
          <t>Safety mechanism against violation</t>
        </is>
      </c>
      <c r="I3" s="3" t="inlineStr">
        <is>
          <t>DC_RF</t>
        </is>
      </c>
      <c r="J3" s="3" t="inlineStr">
        <is>
          <t>λ_SPF/RF (FIT)</t>
        </is>
      </c>
      <c r="K3" s="3" t="inlineStr">
        <is>
          <t>MPF-relevant: latent if undetected (1/0)</t>
        </is>
      </c>
      <c r="L3" s="3" t="inlineStr">
        <is>
          <t>Latent-fault mechanism</t>
        </is>
      </c>
      <c r="M3" s="3" t="inlineStr">
        <is>
          <t>DC_L</t>
        </is>
      </c>
      <c r="N3" s="3" t="inlineStr">
        <is>
          <t>λ_MPF,L (FIT)</t>
        </is>
      </c>
      <c r="O3" s="3" t="inlineStr">
        <is>
          <t>Status / evidence</t>
        </is>
      </c>
    </row>
    <row r="4">
      <c r="A4" s="6" t="inlineStr">
        <is>
          <t>PE array datapath (1,056 MACs)</t>
        </is>
      </c>
      <c r="B4" s="6" t="inlineStr">
        <is>
          <t>Wrong product or sum, single-point</t>
        </is>
      </c>
      <c r="C4" s="6" t="inlineStr">
        <is>
          <t>permanent</t>
        </is>
      </c>
      <c r="D4" s="12">
        <f>Assumptions!$B$22*0.55</f>
        <v/>
      </c>
      <c r="E4" s="13" t="n">
        <v>1</v>
      </c>
      <c r="F4" s="14" t="n">
        <v>0.9</v>
      </c>
      <c r="G4" s="13" t="n">
        <v>1</v>
      </c>
      <c r="H4" s="6" t="inlineStr">
        <is>
          <t>ABFT check column: any single-point error in a row flips the row equality</t>
        </is>
      </c>
      <c r="I4" s="14" t="n">
        <v>0.99</v>
      </c>
      <c r="J4" s="12">
        <f>D4*E4*F4*G4*(1-I4)</f>
        <v/>
      </c>
      <c r="K4" s="13" t="n">
        <v>0</v>
      </c>
      <c r="L4" s="6" t="inlineStr">
        <is>
          <t>n/a (detected faults lead to safe state)</t>
        </is>
      </c>
      <c r="M4" s="14" t="n">
        <v>0</v>
      </c>
      <c r="N4" s="12">
        <f>D4*E4*F4*K4*(1-M4)</f>
        <v/>
      </c>
      <c r="O4" s="6" t="inlineStr">
        <is>
          <t>v1: proven on RTL (T2, T3, C1-C10, K2, M-tests); self-test of the checker proven through registers (M8)</t>
        </is>
      </c>
    </row>
    <row r="5">
      <c r="A5" s="6" t="inlineStr">
        <is>
          <t>PE array datapath (1,056 MACs)</t>
        </is>
      </c>
      <c r="B5" s="6" t="inlineStr">
        <is>
          <t>Dual faults that cancel in the checksum</t>
        </is>
      </c>
      <c r="C5" s="6" t="inlineStr">
        <is>
          <t>permanent</t>
        </is>
      </c>
      <c r="D5" s="12">
        <f>Assumptions!$B$22*0.55</f>
        <v/>
      </c>
      <c r="E5" s="13" t="n">
        <v>1</v>
      </c>
      <c r="F5" s="14" t="n">
        <v>0.1</v>
      </c>
      <c r="G5" s="13" t="n">
        <v>1</v>
      </c>
      <c r="H5" s="6" t="inlineStr">
        <is>
          <t>Periodic in-field LBIST of the core</t>
        </is>
      </c>
      <c r="I5" s="14" t="n">
        <v>0.9</v>
      </c>
      <c r="J5" s="12">
        <f>D5*E5*F5*G5*(1-I5)</f>
        <v/>
      </c>
      <c r="K5" s="13" t="n">
        <v>0</v>
      </c>
      <c r="L5" s="6" t="inlineStr">
        <is>
          <t>n/a</t>
        </is>
      </c>
      <c r="M5" s="14" t="n">
        <v>0</v>
      </c>
      <c r="N5" s="12">
        <f>D5*E5*F5*K5*(1-M5)</f>
        <v/>
      </c>
      <c r="O5" s="6" t="inlineStr">
        <is>
          <t>v1: LBIST is tool-inserted (Modus) and remains the one item with no RTL proof; the island carries the hooks and the FTTI-windowed schedule (M8 watchdog/self-test)</t>
        </is>
      </c>
    </row>
    <row r="6">
      <c r="A6" s="6" t="inlineStr">
        <is>
          <t>Weight registers (active + shadow)</t>
        </is>
      </c>
      <c r="B6" s="6" t="inlineStr">
        <is>
          <t>Bit flip in a stored weight</t>
        </is>
      </c>
      <c r="C6" s="6" t="inlineStr">
        <is>
          <t>transient</t>
        </is>
      </c>
      <c r="D6" s="12">
        <f>Assumptions!$B$25</f>
        <v/>
      </c>
      <c r="E6" s="13" t="n">
        <v>1</v>
      </c>
      <c r="F6" s="14" t="n">
        <v>1</v>
      </c>
      <c r="G6" s="13" t="n">
        <v>1</v>
      </c>
      <c r="H6" s="6" t="inlineStr">
        <is>
          <t>ABFT (corrupted weight flags every row) and reload per tile</t>
        </is>
      </c>
      <c r="I6" s="14" t="n">
        <v>0.99</v>
      </c>
      <c r="J6" s="12">
        <f>D6*E6*F6*G6*(1-I6)</f>
        <v/>
      </c>
      <c r="K6" s="13" t="n">
        <v>0</v>
      </c>
      <c r="L6" s="6" t="inlineStr">
        <is>
          <t>n/a</t>
        </is>
      </c>
      <c r="M6" s="14" t="n">
        <v>0</v>
      </c>
      <c r="N6" s="12">
        <f>D6*E6*F6*K6*(1-M6)</f>
        <v/>
      </c>
      <c r="O6" s="6" t="inlineStr">
        <is>
          <t>today: proven (T4 weight bit-flip)</t>
        </is>
      </c>
    </row>
    <row r="7">
      <c r="A7" s="6" t="inlineStr">
        <is>
          <t>Weight registers (active + shadow)</t>
        </is>
      </c>
      <c r="B7" s="6" t="inlineStr">
        <is>
          <t>Stuck bit in a weight register</t>
        </is>
      </c>
      <c r="C7" s="6" t="inlineStr">
        <is>
          <t>permanent</t>
        </is>
      </c>
      <c r="D7" s="12">
        <f>Assumptions!$B$22*0.05</f>
        <v/>
      </c>
      <c r="E7" s="13" t="n">
        <v>1</v>
      </c>
      <c r="F7" s="14" t="n">
        <v>1</v>
      </c>
      <c r="G7" s="13" t="n">
        <v>1</v>
      </c>
      <c r="H7" s="6" t="inlineStr">
        <is>
          <t>ABFT</t>
        </is>
      </c>
      <c r="I7" s="14" t="n">
        <v>0.99</v>
      </c>
      <c r="J7" s="12">
        <f>D7*E7*F7*G7*(1-I7)</f>
        <v/>
      </c>
      <c r="K7" s="13" t="n">
        <v>0</v>
      </c>
      <c r="L7" s="6" t="inlineStr">
        <is>
          <t>n/a</t>
        </is>
      </c>
      <c r="M7" s="14" t="n">
        <v>0</v>
      </c>
      <c r="N7" s="12">
        <f>D7*E7*F7*K7*(1-M7)</f>
        <v/>
      </c>
      <c r="O7" s="6" t="inlineStr">
        <is>
          <t>today: proven by construction (same mechanism as T4)</t>
        </is>
      </c>
    </row>
    <row r="8">
      <c r="A8" s="6" t="inlineStr">
        <is>
          <t>x / psum / token chains, skew, deskew</t>
        </is>
      </c>
      <c r="B8" s="6" t="inlineStr">
        <is>
          <t>Bit flip in a pipeline register</t>
        </is>
      </c>
      <c r="C8" s="6" t="inlineStr">
        <is>
          <t>transient</t>
        </is>
      </c>
      <c r="D8" s="12">
        <f>Assumptions!$B$26*0.7</f>
        <v/>
      </c>
      <c r="E8" s="13" t="n">
        <v>1</v>
      </c>
      <c r="F8" s="14" t="n">
        <v>1</v>
      </c>
      <c r="G8" s="13" t="n">
        <v>1</v>
      </c>
      <c r="H8" s="6" t="inlineStr">
        <is>
          <t>ABFT for data chains; token/valid parity</t>
        </is>
      </c>
      <c r="I8" s="14" t="n">
        <v>0.95</v>
      </c>
      <c r="J8" s="12">
        <f>D8*E8*F8*G8*(1-I8)</f>
        <v/>
      </c>
      <c r="K8" s="13" t="n">
        <v>0</v>
      </c>
      <c r="L8" s="6" t="inlineStr">
        <is>
          <t>n/a</t>
        </is>
      </c>
      <c r="M8" s="14" t="n">
        <v>0</v>
      </c>
      <c r="N8" s="12">
        <f>D8*E8*F8*K8*(1-M8)</f>
        <v/>
      </c>
      <c r="O8" s="6" t="inlineStr">
        <is>
          <t>v1: ABFT proven; token/valid rule is an SVA property (dv/sva) for formal; parity on valid/token stays a fault-simulation item</t>
        </is>
      </c>
    </row>
    <row r="9">
      <c r="A9" s="6" t="inlineStr">
        <is>
          <t>x / psum / token chains, skew, deskew</t>
        </is>
      </c>
      <c r="B9" s="6" t="inlineStr">
        <is>
          <t>Stuck pipeline register</t>
        </is>
      </c>
      <c r="C9" s="6" t="inlineStr">
        <is>
          <t>permanent</t>
        </is>
      </c>
      <c r="D9" s="12">
        <f>Assumptions!$B$22*0.10</f>
        <v/>
      </c>
      <c r="E9" s="13" t="n">
        <v>1</v>
      </c>
      <c r="F9" s="14" t="n">
        <v>1</v>
      </c>
      <c r="G9" s="13" t="n">
        <v>1</v>
      </c>
      <c r="H9" s="6" t="inlineStr">
        <is>
          <t>ABFT; LBIST</t>
        </is>
      </c>
      <c r="I9" s="14" t="n">
        <v>0.97</v>
      </c>
      <c r="J9" s="12">
        <f>D9*E9*F9*G9*(1-I9)</f>
        <v/>
      </c>
      <c r="K9" s="13" t="n">
        <v>0</v>
      </c>
      <c r="L9" s="6" t="inlineStr">
        <is>
          <t>n/a</t>
        </is>
      </c>
      <c r="M9" s="14" t="n">
        <v>0</v>
      </c>
      <c r="N9" s="12">
        <f>D9*E9*F9*K9*(1-M9)</f>
        <v/>
      </c>
      <c r="O9" s="6" t="inlineStr">
        <is>
          <t>v1: ABFT covers data (T2-T4); control is covered by the sequencer lockstep (C7) and the self-test (M8); LBIST see row 2</t>
        </is>
      </c>
    </row>
    <row r="10">
      <c r="A10" s="6" t="inlineStr">
        <is>
          <t>ABFT checker (array output)</t>
        </is>
      </c>
      <c r="B10" s="6" t="inlineStr">
        <is>
          <t>Stuck at 'no error' (false negative)</t>
        </is>
      </c>
      <c r="C10" s="6" t="inlineStr">
        <is>
          <t>permanent</t>
        </is>
      </c>
      <c r="D10" s="12">
        <f>Assumptions!$B$22*0.02</f>
        <v/>
      </c>
      <c r="E10" s="13" t="n">
        <v>1</v>
      </c>
      <c r="F10" s="14" t="n">
        <v>0.5</v>
      </c>
      <c r="G10" s="13" t="n">
        <v>0</v>
      </c>
      <c r="H10" s="6" t="inlineStr">
        <is>
          <t>none needed alone (does not violate SG by itself)</t>
        </is>
      </c>
      <c r="I10" s="14" t="n">
        <v>0</v>
      </c>
      <c r="J10" s="12">
        <f>D10*E10*F10*G10*(1-I10)</f>
        <v/>
      </c>
      <c r="K10" s="13" t="n">
        <v>1</v>
      </c>
      <c r="L10" s="6" t="inlineStr">
        <is>
          <t>Periodic self-test: inject one known fault per FTTI via the fault hook, expect a flag</t>
        </is>
      </c>
      <c r="M10" s="14" t="n">
        <v>0.9</v>
      </c>
      <c r="N10" s="12">
        <f>D10*E10*F10*K10*(1-M10)</f>
        <v/>
      </c>
      <c r="O10" s="6" t="inlineStr">
        <is>
          <t>planned: fault hook kept as a test feature, sequenced by the safety island</t>
        </is>
      </c>
    </row>
    <row r="11">
      <c r="A11" s="6" t="inlineStr">
        <is>
          <t>ABFT checker (array output)</t>
        </is>
      </c>
      <c r="B11" s="6" t="inlineStr">
        <is>
          <t>False positive (spurious error)</t>
        </is>
      </c>
      <c r="C11" s="6" t="inlineStr">
        <is>
          <t>permanent</t>
        </is>
      </c>
      <c r="D11" s="12">
        <f>Assumptions!$B$22*0.02</f>
        <v/>
      </c>
      <c r="E11" s="13" t="n">
        <v>1</v>
      </c>
      <c r="F11" s="14" t="n">
        <v>0.5</v>
      </c>
      <c r="G11" s="13" t="n">
        <v>0</v>
      </c>
      <c r="H11" s="6" t="inlineStr">
        <is>
          <t>safe failure: leads to safe state</t>
        </is>
      </c>
      <c r="I11" s="14" t="n">
        <v>0</v>
      </c>
      <c r="J11" s="12">
        <f>D11*E11*F11*G11*(1-I11)</f>
        <v/>
      </c>
      <c r="K11" s="13" t="n">
        <v>0</v>
      </c>
      <c r="L11" s="6" t="inlineStr">
        <is>
          <t>n/a</t>
        </is>
      </c>
      <c r="M11" s="14" t="n">
        <v>0</v>
      </c>
      <c r="N11" s="12">
        <f>D11*E11*F11*K11*(1-M11)</f>
        <v/>
      </c>
      <c r="O11" s="6" t="inlineStr">
        <is>
          <t>safe failure mode</t>
        </is>
      </c>
    </row>
    <row r="12">
      <c r="A12" s="6" t="inlineStr">
        <is>
          <t>Accumulator SRAM (64 KB)</t>
        </is>
      </c>
      <c r="B12" s="6" t="inlineStr">
        <is>
          <t>Single-bit upset</t>
        </is>
      </c>
      <c r="C12" s="6" t="inlineStr">
        <is>
          <t>transient</t>
        </is>
      </c>
      <c r="D12" s="12">
        <f>Assumptions!$B$23*0.97</f>
        <v/>
      </c>
      <c r="E12" s="13" t="n">
        <v>1</v>
      </c>
      <c r="F12" s="14" t="n">
        <v>1</v>
      </c>
      <c r="G12" s="13" t="n">
        <v>1</v>
      </c>
      <c r="H12" s="6" t="inlineStr">
        <is>
          <t>SECDED ECC (correct) and ABFT at drain (independent detection)</t>
        </is>
      </c>
      <c r="I12" s="14" t="n">
        <v>0.9999</v>
      </c>
      <c r="J12" s="12">
        <f>D12*E12*F12*G12*(1-I12)</f>
        <v/>
      </c>
      <c r="K12" s="13" t="n">
        <v>0</v>
      </c>
      <c r="L12" s="6" t="inlineStr">
        <is>
          <t>n/a</t>
        </is>
      </c>
      <c r="M12" s="14" t="n">
        <v>0</v>
      </c>
      <c r="N12" s="12">
        <f>D12*E12*F12*K12*(1-M12)</f>
        <v/>
      </c>
      <c r="O12" s="6" t="inlineStr">
        <is>
          <t>v1: ABFT at drain proven (C4); accumulator ECC not implemented: ABFT at drain detects any single-row corruption, so ECC would add correction, not detection</t>
        </is>
      </c>
    </row>
    <row r="13">
      <c r="A13" s="6" t="inlineStr">
        <is>
          <t>Accumulator SRAM (64 KB)</t>
        </is>
      </c>
      <c r="B13" s="6" t="inlineStr">
        <is>
          <t>Multi-bit upset in one word</t>
        </is>
      </c>
      <c r="C13" s="6" t="inlineStr">
        <is>
          <t>transient</t>
        </is>
      </c>
      <c r="D13" s="12">
        <f>Assumptions!$B$23*0.03</f>
        <v/>
      </c>
      <c r="E13" s="13" t="n">
        <v>1</v>
      </c>
      <c r="F13" s="14" t="n">
        <v>1</v>
      </c>
      <c r="G13" s="13" t="n">
        <v>1</v>
      </c>
      <c r="H13" s="6" t="inlineStr">
        <is>
          <t>SECDED detect + ABFT at drain</t>
        </is>
      </c>
      <c r="I13" s="14" t="n">
        <v>0.999</v>
      </c>
      <c r="J13" s="12">
        <f>D13*E13*F13*G13*(1-I13)</f>
        <v/>
      </c>
      <c r="K13" s="13" t="n">
        <v>0</v>
      </c>
      <c r="L13" s="6" t="inlineStr">
        <is>
          <t>n/a</t>
        </is>
      </c>
      <c r="M13" s="14" t="n">
        <v>0</v>
      </c>
      <c r="N13" s="12">
        <f>D13*E13*F13*K13*(1-M13)</f>
        <v/>
      </c>
      <c r="O13" s="6" t="inlineStr">
        <is>
          <t>v1: argument only (interleaving is a memory-compiler choice); detection by ABFT at drain is proven (C4)</t>
        </is>
      </c>
    </row>
    <row r="14">
      <c r="A14" s="6" t="inlineStr">
        <is>
          <t>Accumulator SRAM (64 KB)</t>
        </is>
      </c>
      <c r="B14" s="6" t="inlineStr">
        <is>
          <t>Stuck cell or decoder fault</t>
        </is>
      </c>
      <c r="C14" s="6" t="inlineStr">
        <is>
          <t>permanent</t>
        </is>
      </c>
      <c r="D14" s="12">
        <f>Assumptions!$B$22*0.08</f>
        <v/>
      </c>
      <c r="E14" s="13" t="n">
        <v>1</v>
      </c>
      <c r="F14" s="14" t="n">
        <v>1</v>
      </c>
      <c r="G14" s="13" t="n">
        <v>1</v>
      </c>
      <c r="H14" s="6" t="inlineStr">
        <is>
          <t>ECC, ABFT at drain, MBIST at boot</t>
        </is>
      </c>
      <c r="I14" s="14" t="n">
        <v>0.999</v>
      </c>
      <c r="J14" s="12">
        <f>D14*E14*F14*G14*(1-I14)</f>
        <v/>
      </c>
      <c r="K14" s="13" t="n">
        <v>0</v>
      </c>
      <c r="L14" s="6" t="inlineStr">
        <is>
          <t>n/a</t>
        </is>
      </c>
      <c r="M14" s="14" t="n">
        <v>0</v>
      </c>
      <c r="N14" s="12">
        <f>D14*E14*F14*K14*(1-M14)</f>
        <v/>
      </c>
      <c r="O14" s="6" t="inlineStr">
        <is>
          <t>v1: March C- MBIST implemented and proven (B1-B3 standalone, M11 through registers with ESM cause); ECC on banks proven (M5)</t>
        </is>
      </c>
    </row>
    <row r="15">
      <c r="A15" s="6" t="inlineStr">
        <is>
          <t>Activation buffer SRAM (32 KB)</t>
        </is>
      </c>
      <c r="B15" s="6" t="inlineStr">
        <is>
          <t>Single-bit upset</t>
        </is>
      </c>
      <c r="C15" s="6" t="inlineStr">
        <is>
          <t>transient</t>
        </is>
      </c>
      <c r="D15" s="12">
        <f>Assumptions!$B$24*0.97</f>
        <v/>
      </c>
      <c r="E15" s="13" t="n">
        <v>1</v>
      </c>
      <c r="F15" s="14" t="n">
        <v>1</v>
      </c>
      <c r="G15" s="13" t="n">
        <v>1</v>
      </c>
      <c r="H15" s="6" t="inlineStr">
        <is>
          <t>SECDED ECC; end-to-end CRC from the DMA (ABFT cannot see a wrong input)</t>
        </is>
      </c>
      <c r="I15" s="14" t="n">
        <v>0.999</v>
      </c>
      <c r="J15" s="12">
        <f>D15*E15*F15*G15*(1-I15)</f>
        <v/>
      </c>
      <c r="K15" s="13" t="n">
        <v>0</v>
      </c>
      <c r="L15" s="6" t="inlineStr">
        <is>
          <t>n/a</t>
        </is>
      </c>
      <c r="M15" s="14" t="n">
        <v>0</v>
      </c>
      <c r="N15" s="12">
        <f>D15*E15*F15*K15*(1-M15)</f>
        <v/>
      </c>
      <c r="O15" s="6" t="inlineStr">
        <is>
          <t>v1: end-to-end CRC proven (M3); source-bank ECC proven (M5); MBIST proven (M11); the activation buffer itself is covered by the CRC at write and by the duplicated feeder control (C5)</t>
        </is>
      </c>
    </row>
    <row r="16">
      <c r="A16" s="6" t="inlineStr">
        <is>
          <t>Activation buffer SRAM (32 KB)</t>
        </is>
      </c>
      <c r="B16" s="6" t="inlineStr">
        <is>
          <t>Multi-bit upset or stuck cell</t>
        </is>
      </c>
      <c r="C16" s="6" t="inlineStr">
        <is>
          <t>both</t>
        </is>
      </c>
      <c r="D16" s="12">
        <f>Assumptions!$B$24*0.03+Assumptions!$B$22*0.05</f>
        <v/>
      </c>
      <c r="E16" s="13" t="n">
        <v>1</v>
      </c>
      <c r="F16" s="14" t="n">
        <v>1</v>
      </c>
      <c r="G16" s="13" t="n">
        <v>1</v>
      </c>
      <c r="H16" s="6" t="inlineStr">
        <is>
          <t>SECDED detect, E2E CRC, MBIST</t>
        </is>
      </c>
      <c r="I16" s="14" t="n">
        <v>0.99</v>
      </c>
      <c r="J16" s="12">
        <f>D16*E16*F16*G16*(1-I16)</f>
        <v/>
      </c>
      <c r="K16" s="13" t="n">
        <v>0</v>
      </c>
      <c r="L16" s="6" t="inlineStr">
        <is>
          <t>n/a</t>
        </is>
      </c>
      <c r="M16" s="14" t="n">
        <v>0</v>
      </c>
      <c r="N16" s="12">
        <f>D16*E16*F16*K16*(1-M16)</f>
        <v/>
      </c>
      <c r="O16" s="6" t="inlineStr">
        <is>
          <t>v1: proven for the bank path (M5, M9, M11); DC_L by periodic MBIST</t>
        </is>
      </c>
    </row>
    <row r="17">
      <c r="A17" s="6" t="inlineStr">
        <is>
          <t>Feeder address generator and run FSM</t>
        </is>
      </c>
      <c r="B17" s="6" t="inlineStr">
        <is>
          <t>Wrong address, wrong sequence, early stop</t>
        </is>
      </c>
      <c r="C17" s="6" t="inlineStr">
        <is>
          <t>permanent</t>
        </is>
      </c>
      <c r="D17" s="12">
        <f>Assumptions!$B$22*0.06</f>
        <v/>
      </c>
      <c r="E17" s="13" t="n">
        <v>1</v>
      </c>
      <c r="F17" s="14" t="n">
        <v>1</v>
      </c>
      <c r="G17" s="13" t="n">
        <v>1</v>
      </c>
      <c r="H17" s="6" t="inlineStr">
        <is>
          <t>Duplicated address generator with comparator (DCLS-style)</t>
        </is>
      </c>
      <c r="I17" s="14" t="n">
        <v>0.99</v>
      </c>
      <c r="J17" s="12">
        <f>D17*E17*F17*G17*(1-I17)</f>
        <v/>
      </c>
      <c r="K17" s="13" t="n">
        <v>0</v>
      </c>
      <c r="L17" s="6" t="inlineStr">
        <is>
          <t>n/a</t>
        </is>
      </c>
      <c r="M17" s="14" t="n">
        <v>0</v>
      </c>
      <c r="N17" s="12">
        <f>D17*E17*F17*K17*(1-M17)</f>
        <v/>
      </c>
      <c r="O17" s="6" t="inlineStr">
        <is>
          <t>v1: duplicated feeder control proven (C5, drop 0.4)</t>
        </is>
      </c>
    </row>
    <row r="18">
      <c r="A18" s="6" t="inlineStr">
        <is>
          <t>Feeder address generator and run FSM</t>
        </is>
      </c>
      <c r="B18" s="6" t="inlineStr">
        <is>
          <t>Bit flip in counters</t>
        </is>
      </c>
      <c r="C18" s="6" t="inlineStr">
        <is>
          <t>transient</t>
        </is>
      </c>
      <c r="D18" s="12">
        <f>Assumptions!$B$26*0.15</f>
        <v/>
      </c>
      <c r="E18" s="13" t="n">
        <v>1</v>
      </c>
      <c r="F18" s="14" t="n">
        <v>1</v>
      </c>
      <c r="G18" s="13" t="n">
        <v>1</v>
      </c>
      <c r="H18" s="6" t="inlineStr">
        <is>
          <t>Duplicated address generator with comparator</t>
        </is>
      </c>
      <c r="I18" s="14" t="n">
        <v>0.99</v>
      </c>
      <c r="J18" s="12">
        <f>D18*E18*F18*G18*(1-I18)</f>
        <v/>
      </c>
      <c r="K18" s="13" t="n">
        <v>0</v>
      </c>
      <c r="L18" s="6" t="inlineStr">
        <is>
          <t>n/a</t>
        </is>
      </c>
      <c r="M18" s="14" t="n">
        <v>0</v>
      </c>
      <c r="N18" s="12">
        <f>D18*E18*F18*K18*(1-M18)</f>
        <v/>
      </c>
      <c r="O18" s="6" t="inlineStr">
        <is>
          <t>v1: proven (C5)</t>
        </is>
      </c>
    </row>
    <row r="19">
      <c r="A19" s="6" t="inlineStr">
        <is>
          <t>Accumulator write/read control and index pipeline</t>
        </is>
      </c>
      <c r="B19" s="6" t="inlineStr">
        <is>
          <t>Wrong row index or first flag</t>
        </is>
      </c>
      <c r="C19" s="6" t="inlineStr">
        <is>
          <t>both</t>
        </is>
      </c>
      <c r="D19" s="12">
        <f>Assumptions!$B$22*0.03+Assumptions!$B$26*0.15</f>
        <v/>
      </c>
      <c r="E19" s="13" t="n">
        <v>1</v>
      </c>
      <c r="F19" s="14" t="n">
        <v>1</v>
      </c>
      <c r="G19" s="13" t="n">
        <v>1</v>
      </c>
      <c r="H19" s="6" t="inlineStr">
        <is>
          <t>Parity on index/first delay lines; ABFT at drain catches mixed rows only partially</t>
        </is>
      </c>
      <c r="I19" s="14" t="n">
        <v>0.95</v>
      </c>
      <c r="J19" s="12">
        <f>D19*E19*F19*G19*(1-I19)</f>
        <v/>
      </c>
      <c r="K19" s="13" t="n">
        <v>0</v>
      </c>
      <c r="L19" s="6" t="inlineStr">
        <is>
          <t>n/a</t>
        </is>
      </c>
      <c r="M19" s="14" t="n">
        <v>0</v>
      </c>
      <c r="N19" s="12">
        <f>D19*E19*F19*K19*(1-M19)</f>
        <v/>
      </c>
      <c r="O19" s="6" t="inlineStr">
        <is>
          <t>v1: coverage to be measured by fault simulation (Xcelium fault campaign); mechanism in place</t>
        </is>
      </c>
    </row>
    <row r="20">
      <c r="A20" s="6" t="inlineStr">
        <is>
          <t>Clock and reset distribution in the core</t>
        </is>
      </c>
      <c r="B20" s="6" t="inlineStr">
        <is>
          <t>Clock stuck, glitch, reset glitch</t>
        </is>
      </c>
      <c r="C20" s="6" t="inlineStr">
        <is>
          <t>permanent</t>
        </is>
      </c>
      <c r="D20" s="12">
        <f>Assumptions!$B$22*0.02</f>
        <v/>
      </c>
      <c r="E20" s="13" t="n">
        <v>1</v>
      </c>
      <c r="F20" s="14" t="n">
        <v>1</v>
      </c>
      <c r="G20" s="13" t="n">
        <v>1</v>
      </c>
      <c r="H20" s="6" t="inlineStr">
        <is>
          <t>Clock monitor and watchdog in the safety island</t>
        </is>
      </c>
      <c r="I20" s="14" t="n">
        <v>0.9</v>
      </c>
      <c r="J20" s="12">
        <f>D20*E20*F20*G20*(1-I20)</f>
        <v/>
      </c>
      <c r="K20" s="13" t="n">
        <v>0</v>
      </c>
      <c r="L20" s="6" t="inlineStr">
        <is>
          <t>n/a</t>
        </is>
      </c>
      <c r="M20" s="14" t="n">
        <v>0</v>
      </c>
      <c r="N20" s="12">
        <f>D20*E20*F20*K20*(1-M20)</f>
        <v/>
      </c>
      <c r="O20" s="6" t="inlineStr">
        <is>
          <t>v1: windowed watchdog in the ESM proven (M8); clock monitor is a PLL/monitor IP item (RFQ 11)</t>
        </is>
      </c>
    </row>
    <row r="21">
      <c r="A21" s="6" t="inlineStr">
        <is>
          <t>NoC interface (requests, responses)</t>
        </is>
      </c>
      <c r="B21" s="6" t="inlineStr">
        <is>
          <t>Corrupted packet, lost packet</t>
        </is>
      </c>
      <c r="C21" s="6" t="inlineStr">
        <is>
          <t>both</t>
        </is>
      </c>
      <c r="D21" s="12">
        <f>Assumptions!$B$22*0.04+Assumptions!$B$26*0.1</f>
        <v/>
      </c>
      <c r="E21" s="13" t="n">
        <v>1</v>
      </c>
      <c r="F21" s="14" t="n">
        <v>1</v>
      </c>
      <c r="G21" s="13" t="n">
        <v>1</v>
      </c>
      <c r="H21" s="6" t="inlineStr">
        <is>
          <t>Packet parity/CRC, timeout, sequence numbers</t>
        </is>
      </c>
      <c r="I21" s="14" t="n">
        <v>0.99</v>
      </c>
      <c r="J21" s="12">
        <f>D21*E21*F21*G21*(1-I21)</f>
        <v/>
      </c>
      <c r="K21" s="13" t="n">
        <v>0</v>
      </c>
      <c r="L21" s="6" t="inlineStr">
        <is>
          <t>n/a</t>
        </is>
      </c>
      <c r="M21" s="14" t="n">
        <v>0</v>
      </c>
      <c r="N21" s="12">
        <f>D21*E21*F21*K21*(1-M21)</f>
        <v/>
      </c>
      <c r="O21" s="6" t="inlineStr">
        <is>
          <t>v1: router parity drop (N2), per-message end-to-end CRC (M3), word count per message for lost flits (M9a), fetch timeout (M9b); sequence numbers subsumed by the word count</t>
        </is>
      </c>
    </row>
    <row r="22">
      <c r="A22" s="6" t="inlineStr">
        <is>
          <t>Sequencer FSM, run counters, weight-buffer addressing</t>
        </is>
      </c>
      <c r="B22" s="6" t="inlineStr">
        <is>
          <t>Wrong run order, wrong tile, early drain</t>
        </is>
      </c>
      <c r="C22" s="6" t="inlineStr">
        <is>
          <t>both</t>
        </is>
      </c>
      <c r="D22" s="12">
        <f>Assumptions!$B$22*0.03+Assumptions!$B$26*0.05</f>
        <v/>
      </c>
      <c r="E22" s="13" t="n">
        <v>1</v>
      </c>
      <c r="F22" s="14" t="n">
        <v>1</v>
      </c>
      <c r="G22" s="13" t="n">
        <v>1</v>
      </c>
      <c r="H22" s="6" t="inlineStr">
        <is>
          <t>Duplicated sequencer with comparator (lockstep), weight-buffer ECC</t>
        </is>
      </c>
      <c r="I22" s="14" t="n">
        <v>0.99</v>
      </c>
      <c r="J22" s="12">
        <f>D22*E22*F22*G22*(1-I22)</f>
        <v/>
      </c>
      <c r="K22" s="13" t="n">
        <v>0</v>
      </c>
      <c r="L22" s="6" t="inlineStr">
        <is>
          <t>n/a</t>
        </is>
      </c>
      <c r="M22" s="14" t="n">
        <v>0</v>
      </c>
      <c r="N22" s="12">
        <f>D22*E22*F22*K22*(1-M22)</f>
        <v/>
      </c>
      <c r="O22" s="6" t="inlineStr">
        <is>
          <t>v1: lockstep sequencer proven (C7); weight-buffer ECC per lane proven (C9)</t>
        </is>
      </c>
    </row>
    <row r="23">
      <c r="A23" s="6" t="inlineStr">
        <is>
          <t>Requantization tables and datapath</t>
        </is>
      </c>
      <c r="B23" s="6" t="inlineStr">
        <is>
          <t>Wrong scale, zero point or saturation</t>
        </is>
      </c>
      <c r="C23" s="6" t="inlineStr">
        <is>
          <t>both</t>
        </is>
      </c>
      <c r="D23" s="12">
        <f>Assumptions!$B$22*0.02+Assumptions!$B$26*0.03</f>
        <v/>
      </c>
      <c r="E23" s="13" t="n">
        <v>1</v>
      </c>
      <c r="F23" s="14" t="n">
        <v>1</v>
      </c>
      <c r="G23" s="13" t="n">
        <v>1</v>
      </c>
      <c r="H23" s="6" t="inlineStr">
        <is>
          <t>Table parity and a duplicated requant stage with comparator</t>
        </is>
      </c>
      <c r="I23" s="14" t="n">
        <v>0.99</v>
      </c>
      <c r="J23" s="12">
        <f>D23*E23*F23*G23*(1-I23)</f>
        <v/>
      </c>
      <c r="K23" s="13" t="n">
        <v>0</v>
      </c>
      <c r="L23" s="6" t="inlineStr">
        <is>
          <t>n/a</t>
        </is>
      </c>
      <c r="M23" s="14" t="n">
        <v>0</v>
      </c>
      <c r="N23" s="12">
        <f>D23*E23*F23*K23*(1-M23)</f>
        <v/>
      </c>
      <c r="O23" s="6" t="inlineStr">
        <is>
          <t>v1: duplicated stage proven (C8); table parity proven (C10, including the fault the comparator cannot see)</t>
        </is>
      </c>
    </row>
    <row r="24">
      <c r="A24" s="6" t="inlineStr">
        <is>
          <t>Reduce port and partial-sum transfer (K-split)</t>
        </is>
      </c>
      <c r="B24" s="6" t="inlineStr">
        <is>
          <t>Corrupted or lost partial-sum row</t>
        </is>
      </c>
      <c r="C24" s="6" t="inlineStr">
        <is>
          <t>both</t>
        </is>
      </c>
      <c r="D24" s="12">
        <f>Assumptions!$B$22*0.01+Assumptions!$B$26*0.02</f>
        <v/>
      </c>
      <c r="E24" s="13" t="n">
        <v>1</v>
      </c>
      <c r="F24" s="14" t="n">
        <v>1</v>
      </c>
      <c r="G24" s="13" t="n">
        <v>1</v>
      </c>
      <c r="H24" s="6" t="inlineStr">
        <is>
          <t>Check column travels with the partial sums; drain-time ABFT at the owner; row count in the sequencer</t>
        </is>
      </c>
      <c r="I24" s="14" t="n">
        <v>0.99</v>
      </c>
      <c r="J24" s="12">
        <f>D24*E24*F24*G24*(1-I24)</f>
        <v/>
      </c>
      <c r="K24" s="13" t="n">
        <v>0</v>
      </c>
      <c r="L24" s="6" t="inlineStr">
        <is>
          <t>n/a</t>
        </is>
      </c>
      <c r="M24" s="14" t="n">
        <v>0</v>
      </c>
      <c r="N24" s="12">
        <f>D24*E24*F24*K24*(1-M24)</f>
        <v/>
      </c>
      <c r="O24" s="6" t="inlineStr">
        <is>
          <t>today: proven (K2 corrupted row flagged at the owner)</t>
        </is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8" t="inlineStr">
        <is>
          <t>Totals</t>
        </is>
      </c>
      <c r="B26" s="2" t="n"/>
      <c r="C26" s="2" t="n"/>
      <c r="D26" s="15">
        <f>SUM(D4:D24)</f>
        <v/>
      </c>
      <c r="E26" s="2" t="n"/>
      <c r="F26" s="2" t="n"/>
      <c r="G26" s="2" t="n"/>
      <c r="H26" s="2" t="n"/>
      <c r="I26" s="2" t="n"/>
      <c r="J26" s="15">
        <f>SUM(J4:J24)</f>
        <v/>
      </c>
      <c r="K26" s="2" t="n"/>
      <c r="L26" s="2" t="n"/>
      <c r="M26" s="2" t="n"/>
      <c r="N26" s="15">
        <f>SUM(N4:N24)</f>
        <v/>
      </c>
      <c r="O26" s="2" t="n"/>
    </row>
    <row r="27">
      <c r="A27" s="9" t="inlineStr">
        <is>
          <t>Safety-related λ_SR (Σ λ × SR × FMD)</t>
        </is>
      </c>
      <c r="B27" s="2" t="n"/>
      <c r="C27" s="2" t="n"/>
      <c r="D27" s="16">
        <f>SUMPRODUCT(D4:D24,E4:E24,F4:F24)</f>
        <v/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44" customHeight="1">
      <c r="A29" s="17" t="inlineStr">
        <is>
          <t>Column guide: λ from Assumptions by area/bit share; FMD = share of the block's λ in this failure mode; DC_RF = diagnostic coverage against single-point violation; DC_L = coverage of latent faults in safety mechanisms. Blue cells are the inputs the safety team owns; coverage values here are engineering claims to be measured by fault simulation (Xcelium XFS / JasperGold FSV) in phase 2.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</sheetData>
  <mergeCells count="2">
    <mergeCell ref="A29:O29"/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6" customWidth="1" min="4" max="4"/>
    <col width="18" customWidth="1" min="5" max="5"/>
  </cols>
  <sheetData>
    <row r="1">
      <c r="A1" s="8" t="inlineStr">
        <is>
          <t>Hardware architectural metrics, one MAC core (formulas; ISO 26262-5 Annex C simplified, first-order PMHF)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42" customHeight="1">
      <c r="A3" s="3" t="inlineStr">
        <is>
          <t>Metric</t>
        </is>
      </c>
      <c r="B3" s="3" t="inlineStr">
        <is>
          <t>Value</t>
        </is>
      </c>
      <c r="C3" s="3" t="inlineStr">
        <is>
          <t>ASIL-B(D) target</t>
        </is>
      </c>
      <c r="D3" s="3" t="inlineStr">
        <is>
          <t>ASIL-D target</t>
        </is>
      </c>
      <c r="E3" s="3" t="inlineStr">
        <is>
          <t>Meets ASIL-B(D)?</t>
        </is>
      </c>
    </row>
    <row r="4">
      <c r="A4" s="4" t="inlineStr">
        <is>
          <t>Σ λ_SR, safety-related failure rate (FIT)</t>
        </is>
      </c>
      <c r="B4" s="18">
        <f>FMEDA_core!$D$27</f>
        <v/>
      </c>
      <c r="C4" s="4" t="n"/>
      <c r="D4" s="4" t="n"/>
      <c r="E4" s="4" t="n"/>
    </row>
    <row r="5">
      <c r="A5" s="4" t="inlineStr">
        <is>
          <t>Σ λ_SPF/RF, residual (FIT)</t>
        </is>
      </c>
      <c r="B5" s="18">
        <f>FMEDA_core!$J$26</f>
        <v/>
      </c>
      <c r="C5" s="4" t="n"/>
      <c r="D5" s="4" t="n"/>
      <c r="E5" s="4" t="n"/>
    </row>
    <row r="6">
      <c r="A6" s="4" t="inlineStr">
        <is>
          <t>Σ λ_MPF,L, latent (FIT)</t>
        </is>
      </c>
      <c r="B6" s="18">
        <f>FMEDA_core!$N$26</f>
        <v/>
      </c>
      <c r="C6" s="4" t="n"/>
      <c r="D6" s="4" t="n"/>
      <c r="E6" s="4" t="n"/>
    </row>
    <row r="7">
      <c r="A7" s="4" t="inlineStr">
        <is>
          <t>SPFM = 1 − Σλ_SPF/RF / Σλ_SR</t>
        </is>
      </c>
      <c r="B7" s="19">
        <f>IF(B4&gt;0,1-B5/B4,0)</f>
        <v/>
      </c>
      <c r="C7" s="19">
        <f>Assumptions!B14</f>
        <v/>
      </c>
      <c r="D7" s="19">
        <f>Assumptions!B17</f>
        <v/>
      </c>
      <c r="E7" s="4">
        <f>IF(B7&gt;=C7,"PASS","FAIL")</f>
        <v/>
      </c>
    </row>
    <row r="8">
      <c r="A8" s="4" t="inlineStr">
        <is>
          <t>LFM = 1 − Σλ_MPF,L / (Σλ_SR − Σλ_SPF/RF)</t>
        </is>
      </c>
      <c r="B8" s="19">
        <f>IF(B4-B5&gt;0,1-B6/(B4-B5),0)</f>
        <v/>
      </c>
      <c r="C8" s="19">
        <f>Assumptions!B15</f>
        <v/>
      </c>
      <c r="D8" s="19">
        <f>Assumptions!B18</f>
        <v/>
      </c>
      <c r="E8" s="4">
        <f>IF(B8&gt;=C8,"PASS","FAIL")</f>
        <v/>
      </c>
    </row>
    <row r="9">
      <c r="A9" s="4" t="inlineStr">
        <is>
          <t>PMHF, first order (FIT) = Σλ_RF + Σλ_MPF,L × Σλ_SR × T_life × 1e-9</t>
        </is>
      </c>
      <c r="B9" s="18">
        <f>B5+B6*B4*Assumptions!B13*0.000000001</f>
        <v/>
      </c>
      <c r="C9" s="20">
        <f>Assumptions!B16</f>
        <v/>
      </c>
      <c r="D9" s="20">
        <f>Assumptions!B19</f>
        <v/>
      </c>
      <c r="E9" s="4">
        <f>IF(B9&lt;=C9,"PASS","FAIL")</f>
        <v/>
      </c>
    </row>
    <row r="10">
      <c r="A10" s="2" t="n"/>
      <c r="B10" s="2" t="n"/>
      <c r="C10" s="2" t="n"/>
      <c r="D10" s="2" t="n"/>
      <c r="E10" s="2" t="n"/>
    </row>
    <row r="11" ht="44" customHeight="1">
      <c r="A11" s="17" t="inlineStr">
        <is>
          <t>Reading: the core's residual is dominated by the two findings in FMEDA_core (feeder control with no diagnostic today, activation-buffer corruption invisible to ABFT). The 'planned' coverages assume R7 duplication, ECC and E2E CRC are implemented; set those DC values to 0 to see the v0.2 RTL as it stands.</t>
        </is>
      </c>
      <c r="B11" s="2" t="n"/>
      <c r="C11" s="2" t="n"/>
      <c r="D11" s="2" t="n"/>
      <c r="E11" s="2" t="n"/>
    </row>
  </sheetData>
  <mergeCells count="2"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6" customWidth="1" min="3" max="3"/>
    <col width="10" customWidth="1" min="4" max="4"/>
    <col width="16" customWidth="1" min="5" max="5"/>
    <col width="10" customWidth="1" min="6" max="6"/>
    <col width="14" customWidth="1" min="7" max="7"/>
    <col width="14" customWidth="1" min="8" max="8"/>
    <col width="14" customWidth="1" min="9" max="9"/>
    <col width="16" customWidth="1" min="10" max="10"/>
    <col width="50" customWidth="1" min="11" max="11"/>
  </cols>
  <sheetData>
    <row r="1" ht="60" customHeight="1">
      <c r="A1" s="1" t="inlineStr">
        <is>
          <t>Chip-level roll-up, accelerator die. Per element: λ_SR = safety-related failure rate of the element; DC_RF = coverage of its safety mechanism; λ_SM = failure rate of the mechanism's own logic; DC_L = coverage of the mechanism's latent faults by its self-test. The dual-point term pairs each mechanism's latent faults with the faults it covers (λ_MPF,L × λ_SR × T_life). Elements other than the MAC cores carry assumed values until their own FMEDA sheets exist. Blue = inputs.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42" customHeight="1">
      <c r="A3" s="3" t="inlineStr">
        <is>
          <t>Element</t>
        </is>
      </c>
      <c r="B3" s="3" t="inlineStr">
        <is>
          <t>Count</t>
        </is>
      </c>
      <c r="C3" s="3" t="inlineStr">
        <is>
          <t>λ_SR per instance (FIT)</t>
        </is>
      </c>
      <c r="D3" s="3" t="inlineStr">
        <is>
          <t>DC_RF</t>
        </is>
      </c>
      <c r="E3" s="3" t="inlineStr">
        <is>
          <t>λ_SM per instance (FIT)</t>
        </is>
      </c>
      <c r="F3" s="3" t="inlineStr">
        <is>
          <t>DC_L</t>
        </is>
      </c>
      <c r="G3" s="3" t="inlineStr">
        <is>
          <t>λ_SR total</t>
        </is>
      </c>
      <c r="H3" s="3" t="inlineStr">
        <is>
          <t>λ_SPF/RF total</t>
        </is>
      </c>
      <c r="I3" s="3" t="inlineStr">
        <is>
          <t>λ_MPF,L total</t>
        </is>
      </c>
      <c r="J3" s="3" t="inlineStr">
        <is>
          <t>PMHF contribution (FIT)</t>
        </is>
      </c>
      <c r="K3" s="3" t="inlineStr">
        <is>
          <t>Safety mechanism (summary)</t>
        </is>
      </c>
    </row>
    <row r="4">
      <c r="A4" s="4" t="inlineStr">
        <is>
          <t>MAC core (from FMEDA_core)</t>
        </is>
      </c>
      <c r="B4" s="21" t="n">
        <v>64</v>
      </c>
      <c r="C4" s="22">
        <f>FMEDA_core!$D$27</f>
        <v/>
      </c>
      <c r="D4" s="18">
        <f>1-FMEDA_core!$J$26/FMEDA_core!$D$27</f>
        <v/>
      </c>
      <c r="E4" s="22">
        <f>FMEDA_core!$N$26</f>
        <v/>
      </c>
      <c r="F4" s="18" t="n">
        <v>0</v>
      </c>
      <c r="G4" s="22">
        <f>B4*C4</f>
        <v/>
      </c>
      <c r="H4" s="22">
        <f>B4*C4*(1-D4)</f>
        <v/>
      </c>
      <c r="I4" s="22">
        <f>B4*E4*(1-F4)</f>
        <v/>
      </c>
      <c r="J4" s="22">
        <f>H4+I4*C4*Assumptions!$B$13*0.000000001</f>
        <v/>
      </c>
      <c r="K4" s="6" t="inlineStr">
        <is>
          <t>ABFT, ECC, LBIST, duplicated feeder control (planned); residual and latent taken from FMEDA_core</t>
        </is>
      </c>
    </row>
    <row r="5">
      <c r="A5" s="4" t="inlineStr">
        <is>
          <t>Shared SRAM 128 MB, soft errors</t>
        </is>
      </c>
      <c r="B5" s="21" t="n">
        <v>1</v>
      </c>
      <c r="C5" s="22">
        <f>Assumptions!B7*1024</f>
        <v/>
      </c>
      <c r="D5" s="23" t="n">
        <v>0.99995</v>
      </c>
      <c r="E5" s="24" t="n">
        <v>2</v>
      </c>
      <c r="F5" s="23" t="n">
        <v>0.99</v>
      </c>
      <c r="G5" s="22">
        <f>B5*C5</f>
        <v/>
      </c>
      <c r="H5" s="22">
        <f>B5*C5*(1-D5)</f>
        <v/>
      </c>
      <c r="I5" s="22">
        <f>B5*E5*(1-F5)</f>
        <v/>
      </c>
      <c r="J5" s="22">
        <f>H5+I5*C5*Assumptions!$B$13*0.000000001</f>
        <v/>
      </c>
      <c r="K5" s="6" t="inlineStr">
        <is>
          <t>SECDED (39,32) per word: proven on the tile mesh (M5, drop 0.9); + 4-way interleaving + scrubbing + ABFT credit at the consumer; λ_SM = ECC/scrubber logic; DC_L = periodic ECC error injection</t>
        </is>
      </c>
    </row>
    <row r="6">
      <c r="A6" s="4" t="inlineStr">
        <is>
          <t>Shared SRAM 128 MB, permanent</t>
        </is>
      </c>
      <c r="B6" s="21" t="n">
        <v>1</v>
      </c>
      <c r="C6" s="22">
        <f>Assumptions!B4*65/Assumptions!B5</f>
        <v/>
      </c>
      <c r="D6" s="23" t="n">
        <v>0.999</v>
      </c>
      <c r="E6" s="24" t="n">
        <v>2</v>
      </c>
      <c r="F6" s="23" t="n">
        <v>0.99</v>
      </c>
      <c r="G6" s="22">
        <f>B6*C6</f>
        <v/>
      </c>
      <c r="H6" s="22">
        <f>B6*C6*(1-D6)</f>
        <v/>
      </c>
      <c r="I6" s="22">
        <f>B6*E6*(1-F6)</f>
        <v/>
      </c>
      <c r="J6" s="22">
        <f>H6+I6*C6*Assumptions!$B$13*0.000000001</f>
        <v/>
      </c>
      <c r="K6" s="6" t="inlineStr">
        <is>
          <t>ECC, MBIST at boot, repair</t>
        </is>
      </c>
    </row>
    <row r="7">
      <c r="A7" s="4" t="inlineStr">
        <is>
          <t>NoC and DMA engines</t>
        </is>
      </c>
      <c r="B7" s="21" t="n">
        <v>1</v>
      </c>
      <c r="C7" s="22">
        <f>Assumptions!B4*20/Assumptions!B5</f>
        <v/>
      </c>
      <c r="D7" s="23" t="n">
        <v>0.99</v>
      </c>
      <c r="E7" s="24" t="n">
        <v>1</v>
      </c>
      <c r="F7" s="23" t="n">
        <v>0.9</v>
      </c>
      <c r="G7" s="22">
        <f>B7*C7</f>
        <v/>
      </c>
      <c r="H7" s="22">
        <f>B7*C7*(1-D7)</f>
        <v/>
      </c>
      <c r="I7" s="22">
        <f>B7*E7*(1-F7)</f>
        <v/>
      </c>
      <c r="J7" s="22">
        <f>H7+I7*C7*Assumptions!$B$13*0.000000001</f>
        <v/>
      </c>
      <c r="K7" s="6" t="inlineStr">
        <is>
          <t>Packet parity/CRC, timeouts, descriptor CRC; λ_SM = checkers</t>
        </is>
      </c>
    </row>
    <row r="8">
      <c r="A8" s="4" t="inlineStr">
        <is>
          <t>Safety island (lockstep R52+)</t>
        </is>
      </c>
      <c r="B8" s="21" t="n">
        <v>1</v>
      </c>
      <c r="C8" s="22">
        <f>Assumptions!B4*5/Assumptions!B5</f>
        <v/>
      </c>
      <c r="D8" s="23" t="n">
        <v>0.999</v>
      </c>
      <c r="E8" s="24" t="n">
        <v>0.5</v>
      </c>
      <c r="F8" s="23" t="n">
        <v>0.95</v>
      </c>
      <c r="G8" s="22">
        <f>B8*C8</f>
        <v/>
      </c>
      <c r="H8" s="22">
        <f>B8*C8*(1-D8)</f>
        <v/>
      </c>
      <c r="I8" s="22">
        <f>B8*E8*(1-F8)</f>
        <v/>
      </c>
      <c r="J8" s="22">
        <f>H8+I8*C8*Assumptions!$B$13*0.000000001</f>
        <v/>
      </c>
      <c r="K8" s="6" t="inlineStr">
        <is>
          <t>Dual-core lockstep, ECC, watchdogs, self-test</t>
        </is>
      </c>
    </row>
    <row r="9">
      <c r="A9" s="4" t="inlineStr">
        <is>
          <t>LPDDR5X controller and PHY</t>
        </is>
      </c>
      <c r="B9" s="21" t="n">
        <v>1</v>
      </c>
      <c r="C9" s="22">
        <f>Assumptions!B4*24/Assumptions!B5</f>
        <v/>
      </c>
      <c r="D9" s="23" t="n">
        <v>0.99</v>
      </c>
      <c r="E9" s="24" t="n">
        <v>1</v>
      </c>
      <c r="F9" s="23" t="n">
        <v>0.9</v>
      </c>
      <c r="G9" s="22">
        <f>B9*C9</f>
        <v/>
      </c>
      <c r="H9" s="22">
        <f>B9*C9*(1-D9)</f>
        <v/>
      </c>
      <c r="I9" s="22">
        <f>B9*E9*(1-F9)</f>
        <v/>
      </c>
      <c r="J9" s="22">
        <f>H9+I9*C9*Assumptions!$B$13*0.000000001</f>
        <v/>
      </c>
      <c r="K9" s="6" t="inlineStr">
        <is>
          <t>Inline ECC, link ECC, loopback test</t>
        </is>
      </c>
    </row>
    <row r="10">
      <c r="A10" s="4" t="inlineStr">
        <is>
          <t>PCIe, Ethernet, MIPI, ISP</t>
        </is>
      </c>
      <c r="B10" s="21" t="n">
        <v>1</v>
      </c>
      <c r="C10" s="22">
        <f>Assumptions!B4*27/Assumptions!B5</f>
        <v/>
      </c>
      <c r="D10" s="23" t="n">
        <v>0.98</v>
      </c>
      <c r="E10" s="24" t="n">
        <v>1.5</v>
      </c>
      <c r="F10" s="23" t="n">
        <v>0.9</v>
      </c>
      <c r="G10" s="22">
        <f>B10*C10</f>
        <v/>
      </c>
      <c r="H10" s="22">
        <f>B10*C10*(1-D10)</f>
        <v/>
      </c>
      <c r="I10" s="22">
        <f>B10*E10*(1-F10)</f>
        <v/>
      </c>
      <c r="J10" s="22">
        <f>H10+I10*C10*Assumptions!$B$13*0.000000001</f>
        <v/>
      </c>
      <c r="K10" s="6" t="inlineStr">
        <is>
          <t>CRC, end-to-end protection, frame counters</t>
        </is>
      </c>
    </row>
    <row r="11">
      <c r="A11" s="4" t="inlineStr">
        <is>
          <t>Clocks, resets, power management</t>
        </is>
      </c>
      <c r="B11" s="21" t="n">
        <v>1</v>
      </c>
      <c r="C11" s="22">
        <f>Assumptions!B4*9/Assumptions!B5</f>
        <v/>
      </c>
      <c r="D11" s="23" t="n">
        <v>0.9</v>
      </c>
      <c r="E11" s="24" t="n">
        <v>0.5</v>
      </c>
      <c r="F11" s="23" t="n">
        <v>0.9</v>
      </c>
      <c r="G11" s="22">
        <f>B11*C11</f>
        <v/>
      </c>
      <c r="H11" s="22">
        <f>B11*C11*(1-D11)</f>
        <v/>
      </c>
      <c r="I11" s="22">
        <f>B11*E11*(1-F11)</f>
        <v/>
      </c>
      <c r="J11" s="22">
        <f>H11+I11*C11*Assumptions!$B$13*0.000000001</f>
        <v/>
      </c>
      <c r="K11" s="6" t="inlineStr">
        <is>
          <t>Clock/voltage/temperature monitors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8" t="inlineStr">
        <is>
          <t>Totals</t>
        </is>
      </c>
      <c r="B13" s="2" t="n"/>
      <c r="C13" s="2" t="n"/>
      <c r="D13" s="2" t="n"/>
      <c r="E13" s="2" t="n"/>
      <c r="F13" s="2" t="n"/>
      <c r="G13" s="25">
        <f>SUM(G4:G11)</f>
        <v/>
      </c>
      <c r="H13" s="25">
        <f>SUM(H4:H11)</f>
        <v/>
      </c>
      <c r="I13" s="25">
        <f>SUM(I4:I11)</f>
        <v/>
      </c>
      <c r="J13" s="25">
        <f>SUM(J4:J11)</f>
        <v/>
      </c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Chip SPFM</t>
        </is>
      </c>
      <c r="B15" s="26">
        <f>IF(G13&gt;0,1-H13/G13,0)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4" t="inlineStr">
        <is>
          <t>Chip LFM</t>
        </is>
      </c>
      <c r="B16" s="26">
        <f>IF(G13-H13&gt;0,1-I13/(G13-H13),0)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4" t="inlineStr">
        <is>
          <t>Chip PMHF, first order (FIT)</t>
        </is>
      </c>
      <c r="B17" s="27">
        <f>J13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4" t="inlineStr">
        <is>
          <t>Meets ASIL-B(D) (SPFM ≥ 90 %, LFM ≥ 60 %, PMHF ≤ 100 FIT)?</t>
        </is>
      </c>
      <c r="B18" s="4">
        <f>IF(AND(B15&gt;=Assumptions!B14,B16&gt;=Assumptions!B15,B17&lt;=Assumptions!B16),"PASS","FAIL")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4" t="inlineStr">
        <is>
          <t>Meets ASIL-D (SPFM ≥ 99 %, LFM ≥ 90 %, PMHF ≤ 10 FIT)?</t>
        </is>
      </c>
      <c r="B19" s="4">
        <f>IF(AND(B15&gt;=Assumptions!B17,B16&gt;=Assumptions!B18,B17&lt;=Assumptions!B19),"PASS","FAIL")</f>
        <v/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 ht="48" customHeight="1">
      <c r="A21" s="17" t="inlineStr">
        <is>
          <t>Reading: the shared SRAM's soft-error residual (DC_RF 99.995 %) and the dual-point term of its ECC logic dominate chip PMHF. Those two numbers (SRAM SER from the foundry, ECC-logic self-test coverage) decide whether the accelerator element meets ASIL-B(D) with margin; ASIL-D at chip level is not the target (decision 4). Elements other than the MAC cores are placeholders until their FMEDA sheets exist.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</sheetData>
  <mergeCells count="2">
    <mergeCell ref="A21:K21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20" customWidth="1" min="3" max="3"/>
    <col width="52" customWidth="1" min="4" max="4"/>
    <col width="10" customWidth="1" min="5" max="5"/>
  </cols>
  <sheetData>
    <row r="1">
      <c r="A1" t="inlineStr">
        <is>
          <t>Mechanism evidence (v1): every coverage claim above points at the test that exercised the mechanism on the RTL</t>
        </is>
      </c>
    </row>
    <row r="2">
      <c r="A2" t="inlineStr">
        <is>
          <t>Mechanism</t>
        </is>
      </c>
      <c r="B2" t="inlineStr">
        <is>
          <t>Fault injected</t>
        </is>
      </c>
      <c r="C2" t="inlineStr">
        <is>
          <t>Test</t>
        </is>
      </c>
      <c r="D2" t="inlineStr">
        <is>
          <t>Log</t>
        </is>
      </c>
      <c r="E2" t="inlineStr">
        <is>
          <t>Drop</t>
        </is>
      </c>
    </row>
    <row r="3">
      <c r="A3" t="inlineStr">
        <is>
          <t>ABFT check column</t>
        </is>
      </c>
      <c r="B3" t="inlineStr">
        <is>
          <t>+1 on one product in PE(0,0) for one cycle</t>
        </is>
      </c>
      <c r="C3" t="inlineStr">
        <is>
          <t>T2 (model and 32x32 RTL), C4</t>
        </is>
      </c>
      <c r="D3" t="inlineStr">
        <is>
          <t>sim/neosim_mac_core_32x32.log, sim/neosim_conv_core.log</t>
        </is>
      </c>
      <c r="E3" t="inlineStr">
        <is>
          <t>0.1-0.3</t>
        </is>
      </c>
    </row>
    <row r="4">
      <c r="A4" t="inlineStr">
        <is>
          <t>ABFT at drain</t>
        </is>
      </c>
      <c r="B4" t="inlineStr">
        <is>
          <t>bit flip in accumulator memory; corrupted partial-sum row in flight</t>
        </is>
      </c>
      <c r="C4" t="inlineStr">
        <is>
          <t>C4, K2</t>
        </is>
      </c>
      <c r="D4" t="inlineStr">
        <is>
          <t>sim/neosim_conv_core.log, sim/neosim_ksplit.log</t>
        </is>
      </c>
      <c r="E4" t="inlineStr">
        <is>
          <t>0.3, 0.6</t>
        </is>
      </c>
    </row>
    <row r="5">
      <c r="A5" t="inlineStr">
        <is>
          <t>Duplicated feeder control (R7)</t>
        </is>
      </c>
      <c r="B5" t="inlineStr">
        <is>
          <t>address generator corrupted for one valid cycle</t>
        </is>
      </c>
      <c r="C5" t="inlineStr">
        <is>
          <t>C5</t>
        </is>
      </c>
      <c r="D5" t="inlineStr">
        <is>
          <t>sim/neosim_conv_core.log</t>
        </is>
      </c>
      <c r="E5" t="inlineStr">
        <is>
          <t>0.4</t>
        </is>
      </c>
    </row>
    <row r="6">
      <c r="A6" t="inlineStr">
        <is>
          <t>Lockstep sequencer (R10)</t>
        </is>
      </c>
      <c r="B6" t="inlineStr">
        <is>
          <t>drain index bit 0 flipped</t>
        </is>
      </c>
      <c r="C6" t="inlineStr">
        <is>
          <t>C7</t>
        </is>
      </c>
      <c r="D6" t="inlineStr">
        <is>
          <t>sim/neosim_conv_core.log</t>
        </is>
      </c>
      <c r="E6" t="inlineStr">
        <is>
          <t>0.8</t>
        </is>
      </c>
    </row>
    <row r="7">
      <c r="A7" t="inlineStr">
        <is>
          <t>Duplicated requantization (R10)</t>
        </is>
      </c>
      <c r="B7" t="inlineStr">
        <is>
          <t>bit 12 of column 0 into the primary stage</t>
        </is>
      </c>
      <c r="C7" t="inlineStr">
        <is>
          <t>C8</t>
        </is>
      </c>
      <c r="D7" t="inlineStr">
        <is>
          <t>sim/neosim_conv_core.log</t>
        </is>
      </c>
      <c r="E7" t="inlineStr">
        <is>
          <t>0.8</t>
        </is>
      </c>
    </row>
    <row r="8">
      <c r="A8" t="inlineStr">
        <is>
          <t>Weight-buffer ECC</t>
        </is>
      </c>
      <c r="B8" t="inlineStr">
        <is>
          <t>data and check bits flipped in stored codewords</t>
        </is>
      </c>
      <c r="C8" t="inlineStr">
        <is>
          <t>C9</t>
        </is>
      </c>
      <c r="D8" t="inlineStr">
        <is>
          <t>sim/neosim_conv_core_late.log</t>
        </is>
      </c>
      <c r="E8" t="inlineStr">
        <is>
          <t>0.12</t>
        </is>
      </c>
    </row>
    <row r="9">
      <c r="A9" t="inlineStr">
        <is>
          <t>Requant table parity</t>
        </is>
      </c>
      <c r="B9" t="inlineStr">
        <is>
          <t>multiplier bit 0 flipped</t>
        </is>
      </c>
      <c r="C9" t="inlineStr">
        <is>
          <t>C10</t>
        </is>
      </c>
      <c r="D9" t="inlineStr">
        <is>
          <t>sim/neosim_conv_core_late.log</t>
        </is>
      </c>
      <c r="E9" t="inlineStr">
        <is>
          <t>0.12</t>
        </is>
      </c>
    </row>
    <row r="10">
      <c r="A10" t="inlineStr">
        <is>
          <t>Link parity</t>
        </is>
      </c>
      <c r="B10" t="inlineStr">
        <is>
          <t>flit bit flipped on a link</t>
        </is>
      </c>
      <c r="C10" t="inlineStr">
        <is>
          <t>N2</t>
        </is>
      </c>
      <c r="D10" t="inlineStr">
        <is>
          <t>sim/neosim_noc.log</t>
        </is>
      </c>
      <c r="E10" t="inlineStr">
        <is>
          <t>0.4</t>
        </is>
      </c>
    </row>
    <row r="11">
      <c r="A11" t="inlineStr">
        <is>
          <t>End-to-end CRC</t>
        </is>
      </c>
      <c r="B11" t="inlineStr">
        <is>
          <t>payload bit flipped past the last link check</t>
        </is>
      </c>
      <c r="C11" t="inlineStr">
        <is>
          <t>M3</t>
        </is>
      </c>
      <c r="D11" t="inlineStr">
        <is>
          <t>sim/neosim_tiles.log</t>
        </is>
      </c>
      <c r="E11" t="inlineStr">
        <is>
          <t>0.7</t>
        </is>
      </c>
    </row>
    <row r="12">
      <c r="A12" t="inlineStr">
        <is>
          <t>Bank ECC</t>
        </is>
      </c>
      <c r="B12" t="inlineStr">
        <is>
          <t>data and check bits flipped in the source bank</t>
        </is>
      </c>
      <c r="C12" t="inlineStr">
        <is>
          <t>M5</t>
        </is>
      </c>
      <c r="D12" t="inlineStr">
        <is>
          <t>sim/neosim_tiles.log</t>
        </is>
      </c>
      <c r="E12" t="inlineStr">
        <is>
          <t>0.9</t>
        </is>
      </c>
    </row>
    <row r="13">
      <c r="A13" t="inlineStr">
        <is>
          <t>Lost-flit detection</t>
        </is>
      </c>
      <c r="B13" t="inlineStr">
        <is>
          <t>a fetch-response flit dropped at the owner's port</t>
        </is>
      </c>
      <c r="C13" t="inlineStr">
        <is>
          <t>M9a</t>
        </is>
      </c>
      <c r="D13" t="inlineStr">
        <is>
          <t>sim/neosim_tiles.log</t>
        </is>
      </c>
      <c r="E13" t="inlineStr">
        <is>
          <t>0.12</t>
        </is>
      </c>
    </row>
    <row r="14">
      <c r="A14" t="inlineStr">
        <is>
          <t>Fetch timeout</t>
        </is>
      </c>
      <c r="B14" t="inlineStr">
        <is>
          <t>request against a server held busy</t>
        </is>
      </c>
      <c r="C14" t="inlineStr">
        <is>
          <t>M9b</t>
        </is>
      </c>
      <c r="D14" t="inlineStr">
        <is>
          <t>sim/neosim_tiles.log</t>
        </is>
      </c>
      <c r="E14" t="inlineStr">
        <is>
          <t>0.12</t>
        </is>
      </c>
    </row>
    <row r="15">
      <c r="A15" t="inlineStr">
        <is>
          <t>Reduction flow control</t>
        </is>
      </c>
      <c r="B15" t="inlineStr">
        <is>
          <t>contributor finishing before the owner (deadlock without RDY)</t>
        </is>
      </c>
      <c r="C15" t="inlineStr">
        <is>
          <t>M2</t>
        </is>
      </c>
      <c r="D15" t="inlineStr">
        <is>
          <t>sim/neosim_tiles.log</t>
        </is>
      </c>
      <c r="E15" t="inlineStr">
        <is>
          <t>0.9</t>
        </is>
      </c>
    </row>
    <row r="16">
      <c r="A16" t="inlineStr">
        <is>
          <t>ESM, error pin, watchdog, checker self-test</t>
        </is>
      </c>
      <c r="B16" t="inlineStr">
        <is>
          <t>self-test dummy run; watchdog not kicked</t>
        </is>
      </c>
      <c r="C16" t="inlineStr">
        <is>
          <t>M8</t>
        </is>
      </c>
      <c r="D16" t="inlineStr">
        <is>
          <t>sim/neosim_tiles.log</t>
        </is>
      </c>
      <c r="E16" t="inlineStr">
        <is>
          <t>0.12</t>
        </is>
      </c>
    </row>
    <row r="17">
      <c r="A17" t="inlineStr">
        <is>
          <t>Bank MBIST (March C-)</t>
        </is>
      </c>
      <c r="B17" t="inlineStr">
        <is>
          <t>stuck-at-1 bit; two stuck bits</t>
        </is>
      </c>
      <c r="C17" t="inlineStr">
        <is>
          <t>B1-B3, M11</t>
        </is>
      </c>
      <c r="D17" t="inlineStr">
        <is>
          <t>sim/neosim_mbist.log, sim/neosim_tiles.log</t>
        </is>
      </c>
      <c r="E17" t="inlineStr">
        <is>
          <t>0.13</t>
        </is>
      </c>
    </row>
    <row r="18">
      <c r="A18" t="inlineStr">
        <is>
          <t>(39,32) SECDED code</t>
        </is>
      </c>
      <c r="B18" t="inlineStr">
        <is>
          <t>all 39 single flips x 40 words; 400 double flips</t>
        </is>
      </c>
      <c r="C18" t="inlineStr">
        <is>
          <t>ecc39</t>
        </is>
      </c>
      <c r="D18" t="inlineStr">
        <is>
          <t>sim/neosim_ecc39.log</t>
        </is>
      </c>
      <c r="E18" t="inlineStr">
        <is>
          <t>0.9</t>
        </is>
      </c>
    </row>
    <row r="19">
      <c r="A19" t="inlineStr">
        <is>
          <t>INT8 layer-to-layer path</t>
        </is>
      </c>
      <c r="B19" t="inlineStr">
        <is>
          <t>none (functional)</t>
        </is>
      </c>
      <c r="C19" t="inlineStr">
        <is>
          <t>M10</t>
        </is>
      </c>
      <c r="D19" t="inlineStr">
        <is>
          <t>sim/neosim_two_layer.log</t>
        </is>
      </c>
      <c r="E19" t="inlineStr">
        <is>
          <t>0.13</t>
        </is>
      </c>
    </row>
    <row r="20">
      <c r="A20" t="inlineStr">
        <is>
          <t>LBIST</t>
        </is>
      </c>
      <c r="B20" t="inlineStr">
        <is>
          <t>none: tool-inserted (Modus), hooks and FTTI schedule in the island</t>
        </is>
      </c>
      <c r="C20" t="inlineStr">
        <is>
          <t>-</t>
        </is>
      </c>
      <c r="D20" t="inlineStr">
        <is>
          <t>-</t>
        </is>
      </c>
      <c r="E20" t="inlineStr">
        <is>
          <t>handoff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2026-10-04T20:06:42Z</dcterms:created>
  <dcterms:modified xmlns:dcterms="http://purl.org/dc/terms/" xmlns:xsi="http://www.w3.org/2001/XMLSchema-instance" xsi:type="dcterms:W3CDTF">2026-10-04T20:06:42Z</dcterms:modified>
</cp:coreProperties>
</file>
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MEDA_core_v2" sheetId="2" state="visible" r:id="rId2"/>
    <sheet xmlns:r="http://schemas.openxmlformats.org/officeDocument/2006/relationships" name="Metrics_v2" sheetId="3" state="visible" r:id="rId3"/>
    <sheet xmlns:r="http://schemas.openxmlformats.org/officeDocument/2006/relationships" name="Chip_rollup_v2" sheetId="4" state="visible" r:id="rId4"/>
    <sheet xmlns:r="http://schemas.openxmlformats.org/officeDocument/2006/relationships" name="Campaign" sheetId="5" state="visible" r:id="rId5"/>
    <sheet xmlns:r="http://schemas.openxmlformats.org/officeDocument/2006/relationships" name="Undetected" sheetId="6" state="visible" r:id="rId6"/>
    <sheet xmlns:r="http://schemas.openxmlformats.org/officeDocument/2006/relationships" name="Formal" sheetId="7" state="visible" r:id="rId7"/>
    <sheet xmlns:r="http://schemas.openxmlformats.org/officeDocument/2006/relationships" name="Evide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0.0000"/>
    <numFmt numFmtId="166" formatCode="0.000%"/>
    <numFmt numFmtId="167" formatCode="0.00000"/>
    <numFmt numFmtId="168" formatCode="0.0"/>
    <numFmt numFmtId="169" formatCode="0.0%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color theme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pivotButton="0" quotePrefix="0" xfId="0"/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9" fontId="4" fillId="3" borderId="1" pivotButton="0" quotePrefix="0" xfId="0"/>
    <xf numFmtId="0" fontId="1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3" borderId="0" pivotButton="0" quotePrefix="0" xfId="0"/>
    <xf numFmtId="0" fontId="5" fillId="0" borderId="0" applyAlignment="1" pivotButton="0" quotePrefix="0" xfId="0">
      <alignment vertical="top" wrapText="1"/>
    </xf>
    <xf numFmtId="164" fontId="5" fillId="0" borderId="0" pivotButton="0" quotePrefix="0" xfId="0"/>
    <xf numFmtId="165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165" fontId="1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0" fontId="5" fillId="0" borderId="1" pivotButton="0" quotePrefix="0" xfId="0"/>
    <xf numFmtId="0" fontId="4" fillId="0" borderId="1" pivotButton="0" quotePrefix="0" xfId="0"/>
    <xf numFmtId="164" fontId="5" fillId="0" borderId="1" pivotButton="0" quotePrefix="0" xfId="0"/>
    <xf numFmtId="167" fontId="5" fillId="0" borderId="1" pivotButton="0" quotePrefix="0" xfId="0"/>
    <xf numFmtId="0" fontId="5" fillId="0" borderId="1" applyAlignment="1" pivotButton="0" quotePrefix="0" xfId="0">
      <alignment vertical="top" wrapText="1"/>
    </xf>
    <xf numFmtId="167" fontId="4" fillId="0" borderId="1" pivotButton="0" quotePrefix="0" xfId="0"/>
    <xf numFmtId="164" fontId="4" fillId="0" borderId="1" pivotButton="0" quotePrefix="0" xfId="0"/>
    <xf numFmtId="164" fontId="1" fillId="0" borderId="0" pivotButton="0" quotePrefix="0" xfId="0"/>
    <xf numFmtId="168" fontId="5" fillId="0" borderId="0" pivotButton="0" quotePrefix="0" xfId="0"/>
    <xf numFmtId="16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70" customWidth="1" min="4" max="4"/>
  </cols>
  <sheetData>
    <row r="1" ht="48" customHeight="1">
      <c r="A1" s="1" t="inlineStr">
        <is>
          <t>AstraCore Neo FMEDA v2 (drop 0.43): v1's base failure rates unchanged (rows 4-19, the derived rates 22-26); row 32 adds the weight buffer's storage, which v1 had no row for. Blue = inputs; yellow = assumptions to replace with foundry data (ISO 26262-11).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 ht="42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Source / note</t>
        </is>
      </c>
    </row>
    <row r="4">
      <c r="A4" s="4" t="inlineStr">
        <is>
          <t>Die permanent base failure rate (whole 210 mm² die)</t>
        </is>
      </c>
      <c r="B4" s="5" t="n">
        <v>200</v>
      </c>
      <c r="C4" s="4" t="inlineStr">
        <is>
          <t>FIT</t>
        </is>
      </c>
      <c r="D4" s="6" t="inlineStr">
        <is>
          <t>Assumption, order of magnitude for a large N5-class automotive die; replace with foundry data</t>
        </is>
      </c>
    </row>
    <row r="5">
      <c r="A5" s="4" t="inlineStr">
        <is>
          <t>Die area</t>
        </is>
      </c>
      <c r="B5" s="5" t="n">
        <v>210</v>
      </c>
      <c r="C5" s="4" t="inlineStr">
        <is>
          <t>mm²</t>
        </is>
      </c>
      <c r="D5" s="6" t="inlineStr">
        <is>
          <t>Spec v2.0 physical estimate</t>
        </is>
      </c>
    </row>
    <row r="6">
      <c r="A6" s="4" t="inlineStr">
        <is>
          <t>MAC core area incl. buffers (one core)</t>
        </is>
      </c>
      <c r="B6" s="5" t="n">
        <v>0.47</v>
      </c>
      <c r="C6" s="4" t="inlineStr">
        <is>
          <t>mm²</t>
        </is>
      </c>
      <c r="D6" s="6" t="inlineStr">
        <is>
          <t>30 mm² for 64 cores from the die estimate</t>
        </is>
      </c>
    </row>
    <row r="7">
      <c r="A7" s="4" t="inlineStr">
        <is>
          <t>SRAM soft-error rate</t>
        </is>
      </c>
      <c r="B7" s="5" t="n">
        <v>600</v>
      </c>
      <c r="C7" s="4" t="inlineStr">
        <is>
          <t>FIT/Mbit</t>
        </is>
      </c>
      <c r="D7" s="6" t="inlineStr">
        <is>
          <t>Assumption; replace with foundry SER at ground level, Grade 2 mission profile</t>
        </is>
      </c>
    </row>
    <row r="8">
      <c r="A8" s="4" t="inlineStr">
        <is>
          <t>Flip-flop soft-error rate</t>
        </is>
      </c>
      <c r="B8" s="5" t="n">
        <v>100</v>
      </c>
      <c r="C8" s="4" t="inlineStr">
        <is>
          <t>FIT/Mbit</t>
        </is>
      </c>
      <c r="D8" s="6" t="inlineStr">
        <is>
          <t>Assumption; replace with foundry SER</t>
        </is>
      </c>
    </row>
    <row r="9">
      <c r="A9" s="4" t="inlineStr">
        <is>
          <t>Accumulator SRAM per core</t>
        </is>
      </c>
      <c r="B9" s="5" t="n">
        <v>0.5</v>
      </c>
      <c r="C9" s="4" t="inlineStr">
        <is>
          <t>Mbit</t>
        </is>
      </c>
      <c r="D9" s="6" t="inlineStr">
        <is>
          <t>512 rows × 32 columns × 32 bit = 64 KB</t>
        </is>
      </c>
    </row>
    <row r="10">
      <c r="A10" s="4" t="inlineStr">
        <is>
          <t>Activation buffer SRAM per core</t>
        </is>
      </c>
      <c r="B10" s="5" t="n">
        <v>0.25</v>
      </c>
      <c r="C10" s="4" t="inlineStr">
        <is>
          <t>Mbit</t>
        </is>
      </c>
      <c r="D10" s="6" t="inlineStr">
        <is>
          <t>4096 pixels × 32 channels × 8 bit = 32 KB</t>
        </is>
      </c>
    </row>
    <row r="11">
      <c r="A11" s="4" t="inlineStr">
        <is>
          <t>Weight registers per core (active + shadow)</t>
        </is>
      </c>
      <c r="B11" s="5" t="n">
        <v>0.0176</v>
      </c>
      <c r="C11" s="4" t="inlineStr">
        <is>
          <t>Mbit</t>
        </is>
      </c>
      <c r="D11" s="6" t="inlineStr">
        <is>
          <t>2 × 1056 PEs × 8.3 bit average incl. check column</t>
        </is>
      </c>
    </row>
    <row r="12">
      <c r="A12" s="4" t="inlineStr">
        <is>
          <t>Pipeline and control flops per core</t>
        </is>
      </c>
      <c r="B12" s="5" t="n">
        <v>0.04</v>
      </c>
      <c r="C12" s="4" t="inlineStr">
        <is>
          <t>Mbit</t>
        </is>
      </c>
      <c r="D12" s="6" t="inlineStr">
        <is>
          <t>x/psum/token registers, skew and deskew, feeder, accumulator read registers</t>
        </is>
      </c>
    </row>
    <row r="13">
      <c r="A13" s="4" t="inlineStr">
        <is>
          <t>Mission lifetime</t>
        </is>
      </c>
      <c r="B13" s="5" t="n">
        <v>131400</v>
      </c>
      <c r="C13" s="4" t="inlineStr">
        <is>
          <t>h</t>
        </is>
      </c>
      <c r="D13" s="6" t="inlineStr">
        <is>
          <t>15 years × 8,760 h; vehicle operating hours are lower, kept conservative</t>
        </is>
      </c>
    </row>
    <row r="14">
      <c r="A14" s="4" t="inlineStr">
        <is>
          <t>ASIL-B(D) target SPFM</t>
        </is>
      </c>
      <c r="B14" s="7" t="n">
        <v>0.9</v>
      </c>
      <c r="C14" s="4" t="inlineStr"/>
      <c r="D14" s="6" t="inlineStr">
        <is>
          <t>ISO 26262-5 Table 4</t>
        </is>
      </c>
    </row>
    <row r="15">
      <c r="A15" s="4" t="inlineStr">
        <is>
          <t>ASIL-B(D) target LFM</t>
        </is>
      </c>
      <c r="B15" s="7" t="n">
        <v>0.6</v>
      </c>
      <c r="C15" s="4" t="inlineStr"/>
      <c r="D15" s="6" t="inlineStr">
        <is>
          <t>ISO 26262-5 Table 5</t>
        </is>
      </c>
    </row>
    <row r="16">
      <c r="A16" s="4" t="inlineStr">
        <is>
          <t>ASIL-B(D) target PMHF</t>
        </is>
      </c>
      <c r="B16" s="5" t="n">
        <v>100</v>
      </c>
      <c r="C16" s="4" t="inlineStr">
        <is>
          <t>FIT</t>
        </is>
      </c>
      <c r="D16" s="6" t="inlineStr">
        <is>
          <t>ISO 26262-5 Table 6</t>
        </is>
      </c>
    </row>
    <row r="17">
      <c r="A17" s="4" t="inlineStr">
        <is>
          <t>ASIL-D target SPFM</t>
        </is>
      </c>
      <c r="B17" s="7" t="n">
        <v>0.99</v>
      </c>
      <c r="C17" s="4" t="inlineStr"/>
      <c r="D17" s="6" t="inlineStr">
        <is>
          <t>ISO 26262-5 Table 4</t>
        </is>
      </c>
    </row>
    <row r="18">
      <c r="A18" s="4" t="inlineStr">
        <is>
          <t>ASIL-D target LFM</t>
        </is>
      </c>
      <c r="B18" s="7" t="n">
        <v>0.9</v>
      </c>
      <c r="C18" s="4" t="inlineStr"/>
      <c r="D18" s="6" t="inlineStr">
        <is>
          <t>ISO 26262-5 Table 5</t>
        </is>
      </c>
    </row>
    <row r="19">
      <c r="A19" s="4" t="inlineStr">
        <is>
          <t>ASIL-D target PMHF</t>
        </is>
      </c>
      <c r="B19" s="5" t="n">
        <v>10</v>
      </c>
      <c r="C19" s="4" t="inlineStr">
        <is>
          <t>FIT</t>
        </is>
      </c>
      <c r="D19" s="6" t="inlineStr">
        <is>
          <t>ISO 26262-5 Table 6</t>
        </is>
      </c>
    </row>
    <row r="20">
      <c r="A20" s="2" t="n"/>
      <c r="B20" s="2" t="n"/>
      <c r="C20" s="2" t="n"/>
      <c r="D20" s="2" t="n"/>
    </row>
    <row r="21">
      <c r="A21" s="8" t="inlineStr">
        <is>
          <t>Derived (formulas)</t>
        </is>
      </c>
      <c r="B21" s="2" t="n"/>
      <c r="C21" s="2" t="n"/>
      <c r="D21" s="2" t="n"/>
    </row>
    <row r="22">
      <c r="A22" s="9" t="inlineStr">
        <is>
          <t>Permanent failure rate of one MAC core</t>
        </is>
      </c>
      <c r="B22" s="10">
        <f>B4*B6/B5</f>
        <v/>
      </c>
      <c r="C22" s="9" t="inlineStr">
        <is>
          <t>FIT</t>
        </is>
      </c>
      <c r="D22" s="2" t="n"/>
    </row>
    <row r="23">
      <c r="A23" s="9" t="inlineStr">
        <is>
          <t>Transient failure rate, accumulator SRAM</t>
        </is>
      </c>
      <c r="B23" s="10">
        <f>B7*B9</f>
        <v/>
      </c>
      <c r="C23" s="9" t="inlineStr">
        <is>
          <t>FIT</t>
        </is>
      </c>
      <c r="D23" s="2" t="n"/>
    </row>
    <row r="24">
      <c r="A24" s="9" t="inlineStr">
        <is>
          <t>Transient failure rate, activation buffer SRAM</t>
        </is>
      </c>
      <c r="B24" s="10">
        <f>B7*B10</f>
        <v/>
      </c>
      <c r="C24" s="9" t="inlineStr">
        <is>
          <t>FIT</t>
        </is>
      </c>
      <c r="D24" s="2" t="n"/>
    </row>
    <row r="25">
      <c r="A25" s="9" t="inlineStr">
        <is>
          <t>Transient failure rate, weight registers</t>
        </is>
      </c>
      <c r="B25" s="10">
        <f>B8*B11</f>
        <v/>
      </c>
      <c r="C25" s="9" t="inlineStr">
        <is>
          <t>FIT</t>
        </is>
      </c>
      <c r="D25" s="2" t="n"/>
    </row>
    <row r="26">
      <c r="A26" s="9" t="inlineStr">
        <is>
          <t>Transient failure rate, pipeline and control flops</t>
        </is>
      </c>
      <c r="B26" s="10">
        <f>B8*B12</f>
        <v/>
      </c>
      <c r="C26" s="9" t="inlineStr">
        <is>
          <t>FIT</t>
        </is>
      </c>
      <c r="D26" s="2" t="n"/>
    </row>
    <row r="27">
      <c r="A27" s="2" t="n"/>
      <c r="B27" s="2" t="n"/>
      <c r="C27" s="2" t="n"/>
      <c r="D27" s="2" t="n"/>
    </row>
    <row r="28">
      <c r="A28" s="2" t="n"/>
      <c r="B28" s="2" t="n"/>
      <c r="C28" s="2" t="n"/>
      <c r="D28" s="2" t="n"/>
    </row>
    <row r="29">
      <c r="A29" s="2" t="n"/>
      <c r="B29" s="2" t="n"/>
      <c r="C29" s="2" t="n"/>
      <c r="D29" s="2" t="n"/>
    </row>
    <row r="30">
      <c r="A30" s="2" t="n"/>
      <c r="B30" s="2" t="n"/>
      <c r="C30" s="2" t="n"/>
      <c r="D30" s="2" t="n"/>
    </row>
    <row r="31">
      <c r="A31" s="8" t="inlineStr">
        <is>
          <t>v2 addition</t>
        </is>
      </c>
      <c r="B31" s="2" t="n"/>
      <c r="C31" s="2" t="n"/>
      <c r="D31" s="2" t="n"/>
    </row>
    <row r="32">
      <c r="A32" s="2" t="inlineStr">
        <is>
          <t>Weight buffer SRAM per core (v2 addition)</t>
        </is>
      </c>
      <c r="B32" s="11" t="n">
        <v>0.457</v>
      </c>
      <c r="C32" s="2" t="inlineStr">
        <is>
          <t>Mbit</t>
        </is>
      </c>
      <c r="D32" s="12" t="inlineStr">
        <is>
          <t>WBUF_DEPTH 1024 entries x 468 bits (the 2:4 sparse-capable 32x32 core: 376 bits in 12 SECDED lanes of 39 bits) = 479,232 bits; v1 has no row for it</t>
        </is>
      </c>
    </row>
    <row r="33">
      <c r="A33" s="2" t="inlineStr">
        <is>
          <t>Transient failure rate, weight buffer SRAM</t>
        </is>
      </c>
      <c r="B33" s="13">
        <f>B7*B32</f>
        <v/>
      </c>
      <c r="C33" s="2" t="inlineStr">
        <is>
          <t>FIT</t>
        </is>
      </c>
      <c r="D33" s="2" t="n"/>
    </row>
    <row r="34">
      <c r="A34" s="2" t="n"/>
      <c r="B34" s="2" t="n"/>
      <c r="C34" s="2" t="n"/>
      <c r="D34" s="2" t="n"/>
    </row>
    <row r="35" ht="44" customHeight="1">
      <c r="A35" s="12" t="inlineStr">
        <is>
          <t>Observations, not changed here so that v2 compares with v1 like for like: the silicon activation buffer is ABUF_DEPTH 2048 x 32 bytes = 0.5 Mbit (v1: 0.25 Mbit, and its note's 4096 x 32 x 8 bit is 1 Mbit); the accumulator of the NCHK = 4 core is 512 x 36 x 32 bit = 0.5625 Mbit (v1: 0.5).</t>
        </is>
      </c>
      <c r="B35" s="2" t="n"/>
      <c r="C35" s="2" t="n"/>
      <c r="D35" s="2" t="n"/>
    </row>
  </sheetData>
  <mergeCells count="2">
    <mergeCell ref="A1:D1"/>
    <mergeCell ref="A35:D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5" customWidth="1" min="5" max="5"/>
    <col width="7" customWidth="1" min="6" max="6"/>
    <col width="5" customWidth="1" min="7" max="7"/>
    <col width="30" customWidth="1" min="8" max="8"/>
    <col width="30" customWidth="1" min="9" max="9"/>
    <col width="7" customWidth="1" min="10" max="10"/>
    <col width="8" customWidth="1" min="11" max="11"/>
    <col width="8" customWidth="1" min="12" max="12"/>
    <col width="9" customWidth="1" min="13" max="13"/>
    <col width="9" customWidth="1" min="14" max="14"/>
    <col width="9" customWidth="1" min="15" max="15"/>
    <col width="16" customWidth="1" min="16" max="16"/>
    <col width="9" customWidth="1" min="17" max="17"/>
    <col width="11" customWidth="1" min="18" max="18"/>
    <col width="5" customWidth="1" min="19" max="19"/>
    <col width="26" customWidth="1" min="20" max="20"/>
    <col width="7" customWidth="1" min="21" max="21"/>
    <col width="10" customWidth="1" min="22" max="22"/>
    <col width="34" customWidth="1" min="23" max="23"/>
    <col width="8" customWidth="1" min="24" max="24"/>
    <col width="10" customWidth="1" min="25" max="25"/>
    <col width="46" customWidth="1" min="26" max="26"/>
  </cols>
  <sheetData>
    <row r="1" ht="62" customHeight="1">
      <c r="A1" s="1" t="inlineStr">
        <is>
          <t>FMEDA v2 (drop 0.43), one MAC core: v1's rows with the diagnostic coverage the fault campaign measured (02_dv/dv/cocotb/faults/, the faults job). Per row: the faults that measure it (campaign selection), their outcomes, F_safe = the bit-weighted fraction masked in the workload (no violation, ISO 26262's safe faults), DC_RF = detected / (detected + dangerous), bit-weighted, with its 95 % Wilson interval. λ_SPF/RF = λ x SR x FMD x SPF x (1 - F_safe) x (1 - DC_RF). Rows marked 'claim' keep v1's value and say why. Campaign: run 192 (workflow_dispatch on d2-faults at e3fbc93784c7bce3702383a2da91cd7760a0d180) Tue Oct 13 06:24:13 UTC 2026.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42" customHeight="1">
      <c r="A3" s="3" t="inlineStr">
        <is>
          <t>Block</t>
        </is>
      </c>
      <c r="B3" s="3" t="inlineStr">
        <is>
          <t>Failure mode</t>
        </is>
      </c>
      <c r="C3" s="3" t="inlineStr">
        <is>
          <t>Fault type</t>
        </is>
      </c>
      <c r="D3" s="3" t="inlineStr">
        <is>
          <t>λ (FIT)</t>
        </is>
      </c>
      <c r="E3" s="3" t="inlineStr">
        <is>
          <t>SR</t>
        </is>
      </c>
      <c r="F3" s="3" t="inlineStr">
        <is>
          <t>FMD</t>
        </is>
      </c>
      <c r="G3" s="3" t="inlineStr">
        <is>
          <t>SPF</t>
        </is>
      </c>
      <c r="H3" s="3" t="inlineStr">
        <is>
          <t>Safety mechanism</t>
        </is>
      </c>
      <c r="I3" s="3" t="inlineStr">
        <is>
          <t>Campaign selection</t>
        </is>
      </c>
      <c r="J3" s="3" t="inlineStr">
        <is>
          <t>Faults</t>
        </is>
      </c>
      <c r="K3" s="3" t="inlineStr">
        <is>
          <t>Detected</t>
        </is>
      </c>
      <c r="L3" s="3" t="inlineStr">
        <is>
          <t>Masked</t>
        </is>
      </c>
      <c r="M3" s="3" t="inlineStr">
        <is>
          <t>Dangerous (incl. hang)</t>
        </is>
      </c>
      <c r="N3" s="3" t="inlineStr">
        <is>
          <t>F_safe (measured)</t>
        </is>
      </c>
      <c r="O3" s="3" t="inlineStr">
        <is>
          <t>DC_RF measured</t>
        </is>
      </c>
      <c r="P3" s="3" t="inlineStr">
        <is>
          <t>DC_RF 95 % CI (n_eff)</t>
        </is>
      </c>
      <c r="Q3" s="3" t="inlineStr">
        <is>
          <t>DC_RF used</t>
        </is>
      </c>
      <c r="R3" s="3" t="inlineStr">
        <is>
          <t>λ_SPF/RF (FIT)</t>
        </is>
      </c>
      <c r="S3" s="3" t="inlineStr">
        <is>
          <t>MPF</t>
        </is>
      </c>
      <c r="T3" s="3" t="inlineStr">
        <is>
          <t>Latent-fault mechanism</t>
        </is>
      </c>
      <c r="U3" s="3" t="inlineStr">
        <is>
          <t>DC_L</t>
        </is>
      </c>
      <c r="V3" s="3" t="inlineStr">
        <is>
          <t>λ_MPF,L (FIT)</t>
        </is>
      </c>
      <c r="W3" s="3" t="inlineStr">
        <is>
          <t>Formal proofs (formal job)</t>
        </is>
      </c>
      <c r="X3" s="3" t="inlineStr">
        <is>
          <t>v1 DC_RF</t>
        </is>
      </c>
      <c r="Y3" s="3" t="inlineStr">
        <is>
          <t>v1 λ_SPF/RF (FIT)</t>
        </is>
      </c>
      <c r="Z3" s="3" t="inlineStr">
        <is>
          <t>Basis / evidence</t>
        </is>
      </c>
    </row>
    <row r="4">
      <c r="A4" s="6" t="inlineStr">
        <is>
          <t>PE array datapath (1,056 MACs)</t>
        </is>
      </c>
      <c r="B4" s="6" t="inlineStr">
        <is>
          <t>Wrong product or sum, single-point</t>
        </is>
      </c>
      <c r="C4" s="6" t="inlineStr">
        <is>
          <t>permanent</t>
        </is>
      </c>
      <c r="D4" s="14">
        <f>Assumptions!$B$22*0.55</f>
        <v/>
      </c>
      <c r="E4" s="15" t="n">
        <v>1</v>
      </c>
      <c r="F4" s="16" t="n">
        <v>0.9</v>
      </c>
      <c r="G4" s="15" t="n">
        <v>1</v>
      </c>
      <c r="H4" s="6" t="inlineStr">
        <is>
          <t>ABFT check column: any single-point error in a row flips the row equality</t>
        </is>
      </c>
      <c r="I4" s="6" t="inlineStr">
        <is>
          <t>core: neo_mac_core / stuck-at / weight registers excluded</t>
        </is>
      </c>
      <c r="J4" s="6" t="n">
        <v>921</v>
      </c>
      <c r="K4" s="6" t="n">
        <v>509</v>
      </c>
      <c r="L4" s="6" t="n">
        <v>367</v>
      </c>
      <c r="M4" s="6" t="n">
        <v>45</v>
      </c>
      <c r="N4" s="16" t="n">
        <v>0.3984799131378935</v>
      </c>
      <c r="O4" s="14" t="n">
        <v>0.9187725631768953</v>
      </c>
      <c r="P4" s="6" t="inlineStr">
        <is>
          <t>89.3 % .. 93.9 % (554)</t>
        </is>
      </c>
      <c r="Q4" s="16" t="n">
        <v>0.9187725631768953</v>
      </c>
      <c r="R4" s="14">
        <f>D4*E4*F4*G4*(1-N4)*(1-Q4)</f>
        <v/>
      </c>
      <c r="S4" s="15" t="n">
        <v>0</v>
      </c>
      <c r="T4" s="6" t="inlineStr">
        <is>
          <t>n/a (detected faults lead to safe state)</t>
        </is>
      </c>
      <c r="U4" s="16" t="n">
        <v>0</v>
      </c>
      <c r="V4" s="14">
        <f>D4*E4*F4*S4*(1-U4)</f>
        <v/>
      </c>
      <c r="W4" s="6" t="inlineStr">
        <is>
          <t>abft_checker PASS (prove, 0.4 s)</t>
        </is>
      </c>
      <c r="X4" s="14" t="n">
        <v>0.99</v>
      </c>
      <c r="Y4" s="14" t="n">
        <v>0.002215714285714288</v>
      </c>
      <c r="Z4" s="6" t="inlineStr">
        <is>
          <t>measured</t>
        </is>
      </c>
    </row>
    <row r="5">
      <c r="A5" s="6" t="inlineStr">
        <is>
          <t>PE array datapath (1,056 MACs)</t>
        </is>
      </c>
      <c r="B5" s="6" t="inlineStr">
        <is>
          <t>Dual faults that cancel in the checksum</t>
        </is>
      </c>
      <c r="C5" s="6" t="inlineStr">
        <is>
          <t>permanent</t>
        </is>
      </c>
      <c r="D5" s="14">
        <f>Assumptions!$B$22*0.55</f>
        <v/>
      </c>
      <c r="E5" s="15" t="n">
        <v>1</v>
      </c>
      <c r="F5" s="16" t="n">
        <v>0.1</v>
      </c>
      <c r="G5" s="15" t="n">
        <v>1</v>
      </c>
      <c r="H5" s="6" t="inlineStr">
        <is>
          <t>Periodic in-field LBIST of the core</t>
        </is>
      </c>
      <c r="I5" s="6" t="inlineStr">
        <is>
          <t>-</t>
        </is>
      </c>
      <c r="J5" s="6" t="n"/>
      <c r="K5" s="6" t="n"/>
      <c r="L5" s="6" t="n"/>
      <c r="M5" s="6" t="n"/>
      <c r="N5" s="16" t="n">
        <v>0</v>
      </c>
      <c r="O5" s="14" t="n"/>
      <c r="P5" s="6" t="inlineStr"/>
      <c r="Q5" s="16" t="n">
        <v>0.9</v>
      </c>
      <c r="R5" s="14">
        <f>D5*E5*F5*G5*(1-N5)*(1-Q5)</f>
        <v/>
      </c>
      <c r="S5" s="15" t="n">
        <v>0</v>
      </c>
      <c r="T5" s="6" t="inlineStr">
        <is>
          <t>n/a</t>
        </is>
      </c>
      <c r="U5" s="16" t="n">
        <v>0</v>
      </c>
      <c r="V5" s="14">
        <f>D5*E5*F5*S5*(1-U5)</f>
        <v/>
      </c>
      <c r="W5" s="6" t="inlineStr"/>
      <c r="X5" s="14" t="n">
        <v>0.9</v>
      </c>
      <c r="Y5" s="14" t="n">
        <v>0.002461904761904762</v>
      </c>
      <c r="Z5" s="6" t="inlineStr">
        <is>
          <t>claim; dual faults: a single-fault campaign does not make them; LBIST (IP) is the mechanism</t>
        </is>
      </c>
    </row>
    <row r="6">
      <c r="A6" s="6" t="inlineStr">
        <is>
          <t>Weight registers (active + shadow)</t>
        </is>
      </c>
      <c r="B6" s="6" t="inlineStr">
        <is>
          <t>Bit flip in a stored weight</t>
        </is>
      </c>
      <c r="C6" s="6" t="inlineStr">
        <is>
          <t>transient</t>
        </is>
      </c>
      <c r="D6" s="14">
        <f>Assumptions!$B$25*1</f>
        <v/>
      </c>
      <c r="E6" s="15" t="n">
        <v>1</v>
      </c>
      <c r="F6" s="16" t="n">
        <v>1</v>
      </c>
      <c r="G6" s="15" t="n">
        <v>1</v>
      </c>
      <c r="H6" s="6" t="inlineStr">
        <is>
          <t>ABFT (corrupted weight flags every row) and reload per tile</t>
        </is>
      </c>
      <c r="I6" s="6" t="inlineStr">
        <is>
          <t>core: neo_mac_core / flips / weight registers only</t>
        </is>
      </c>
      <c r="J6" s="6" t="n">
        <v>181</v>
      </c>
      <c r="K6" s="6" t="n">
        <v>42</v>
      </c>
      <c r="L6" s="6" t="n">
        <v>139</v>
      </c>
      <c r="M6" s="6" t="n">
        <v>0</v>
      </c>
      <c r="N6" s="16" t="n">
        <v>0.7679558011049723</v>
      </c>
      <c r="O6" s="14" t="n">
        <v>1</v>
      </c>
      <c r="P6" s="6" t="inlineStr">
        <is>
          <t>91.6 % .. 100.0 % (42)</t>
        </is>
      </c>
      <c r="Q6" s="16" t="n">
        <v>1</v>
      </c>
      <c r="R6" s="14">
        <f>D6*E6*F6*G6*(1-N6)*(1-Q6)</f>
        <v/>
      </c>
      <c r="S6" s="15" t="n">
        <v>0</v>
      </c>
      <c r="T6" s="6" t="inlineStr">
        <is>
          <t>n/a</t>
        </is>
      </c>
      <c r="U6" s="16" t="n">
        <v>0</v>
      </c>
      <c r="V6" s="14">
        <f>D6*E6*F6*S6*(1-U6)</f>
        <v/>
      </c>
      <c r="W6" s="6" t="inlineStr">
        <is>
          <t>abft_checker PASS (prove, 0.4 s)</t>
        </is>
      </c>
      <c r="X6" s="14" t="n">
        <v>0.99</v>
      </c>
      <c r="Y6" s="14" t="n">
        <v>0.01760000000000001</v>
      </c>
      <c r="Z6" s="6" t="inlineStr">
        <is>
          <t>measured</t>
        </is>
      </c>
    </row>
    <row r="7">
      <c r="A7" s="6" t="inlineStr">
        <is>
          <t>Weight registers (active + shadow)</t>
        </is>
      </c>
      <c r="B7" s="6" t="inlineStr">
        <is>
          <t>Stuck bit in a weight register</t>
        </is>
      </c>
      <c r="C7" s="6" t="inlineStr">
        <is>
          <t>permanent</t>
        </is>
      </c>
      <c r="D7" s="14">
        <f>Assumptions!$B$22*0.05</f>
        <v/>
      </c>
      <c r="E7" s="15" t="n">
        <v>1</v>
      </c>
      <c r="F7" s="16" t="n">
        <v>1</v>
      </c>
      <c r="G7" s="15" t="n">
        <v>1</v>
      </c>
      <c r="H7" s="6" t="inlineStr">
        <is>
          <t>ABFT</t>
        </is>
      </c>
      <c r="I7" s="6" t="inlineStr">
        <is>
          <t>core: neo_mac_core / stuck-at / weight registers only</t>
        </is>
      </c>
      <c r="J7" s="6" t="n">
        <v>137</v>
      </c>
      <c r="K7" s="6" t="n">
        <v>64</v>
      </c>
      <c r="L7" s="6" t="n">
        <v>73</v>
      </c>
      <c r="M7" s="6" t="n">
        <v>0</v>
      </c>
      <c r="N7" s="16" t="n">
        <v>0.5328467153284672</v>
      </c>
      <c r="O7" s="14" t="n">
        <v>1</v>
      </c>
      <c r="P7" s="6" t="inlineStr">
        <is>
          <t>94.3 % .. 100.0 % (64)</t>
        </is>
      </c>
      <c r="Q7" s="16" t="n">
        <v>1</v>
      </c>
      <c r="R7" s="14">
        <f>D7*E7*F7*G7*(1-N7)*(1-Q7)</f>
        <v/>
      </c>
      <c r="S7" s="15" t="n">
        <v>0</v>
      </c>
      <c r="T7" s="6" t="inlineStr">
        <is>
          <t>n/a</t>
        </is>
      </c>
      <c r="U7" s="16" t="n">
        <v>0</v>
      </c>
      <c r="V7" s="14">
        <f>D7*E7*F7*S7*(1-U7)</f>
        <v/>
      </c>
      <c r="W7" s="6" t="inlineStr">
        <is>
          <t>abft_checker PASS (prove, 0.4 s)</t>
        </is>
      </c>
      <c r="X7" s="14" t="n">
        <v>0.99</v>
      </c>
      <c r="Y7" s="14" t="n">
        <v>0.000223809523809524</v>
      </c>
      <c r="Z7" s="6" t="inlineStr">
        <is>
          <t>measured</t>
        </is>
      </c>
    </row>
    <row r="8">
      <c r="A8" s="6" t="inlineStr">
        <is>
          <t>x / psum / token chains, skew, deskew</t>
        </is>
      </c>
      <c r="B8" s="6" t="inlineStr">
        <is>
          <t>Bit flip in a pipeline register</t>
        </is>
      </c>
      <c r="C8" s="6" t="inlineStr">
        <is>
          <t>transient</t>
        </is>
      </c>
      <c r="D8" s="14">
        <f>Assumptions!$B$26*0.7</f>
        <v/>
      </c>
      <c r="E8" s="15" t="n">
        <v>1</v>
      </c>
      <c r="F8" s="16" t="n">
        <v>1</v>
      </c>
      <c r="G8" s="15" t="n">
        <v>1</v>
      </c>
      <c r="H8" s="6" t="inlineStr">
        <is>
          <t>ABFT for data chains; token/valid parity</t>
        </is>
      </c>
      <c r="I8" s="6" t="inlineStr">
        <is>
          <t>core: neo_mac_core / flips / weight registers excluded</t>
        </is>
      </c>
      <c r="J8" s="6" t="n">
        <v>1032</v>
      </c>
      <c r="K8" s="6" t="n">
        <v>424</v>
      </c>
      <c r="L8" s="6" t="n">
        <v>574</v>
      </c>
      <c r="M8" s="6" t="n">
        <v>34</v>
      </c>
      <c r="N8" s="16" t="n">
        <v>0.5562015503875969</v>
      </c>
      <c r="O8" s="14" t="n">
        <v>0.925764192139738</v>
      </c>
      <c r="P8" s="6" t="inlineStr">
        <is>
          <t>89.8 % .. 94.6 % (458)</t>
        </is>
      </c>
      <c r="Q8" s="16" t="n">
        <v>0.925764192139738</v>
      </c>
      <c r="R8" s="14">
        <f>D8*E8*F8*G8*(1-N8)*(1-Q8)</f>
        <v/>
      </c>
      <c r="S8" s="15" t="n">
        <v>0</v>
      </c>
      <c r="T8" s="6" t="inlineStr">
        <is>
          <t>n/a</t>
        </is>
      </c>
      <c r="U8" s="16" t="n">
        <v>0</v>
      </c>
      <c r="V8" s="14">
        <f>D8*E8*F8*S8*(1-U8)</f>
        <v/>
      </c>
      <c r="W8" s="6" t="inlineStr">
        <is>
          <t>abft_checker PASS (prove, 0.4 s)</t>
        </is>
      </c>
      <c r="X8" s="14" t="n">
        <v>0.95</v>
      </c>
      <c r="Y8" s="14" t="n">
        <v>0.1400000000000001</v>
      </c>
      <c r="Z8" s="6" t="inlineStr">
        <is>
          <t>measured</t>
        </is>
      </c>
    </row>
    <row r="9">
      <c r="A9" s="6" t="inlineStr">
        <is>
          <t>x / psum / token chains, skew, deskew</t>
        </is>
      </c>
      <c r="B9" s="6" t="inlineStr">
        <is>
          <t>Stuck pipeline register</t>
        </is>
      </c>
      <c r="C9" s="6" t="inlineStr">
        <is>
          <t>permanent</t>
        </is>
      </c>
      <c r="D9" s="14">
        <f>Assumptions!$B$22*0.1</f>
        <v/>
      </c>
      <c r="E9" s="15" t="n">
        <v>1</v>
      </c>
      <c r="F9" s="16" t="n">
        <v>1</v>
      </c>
      <c r="G9" s="15" t="n">
        <v>1</v>
      </c>
      <c r="H9" s="6" t="inlineStr">
        <is>
          <t>ABFT; LBIST</t>
        </is>
      </c>
      <c r="I9" s="6" t="inlineStr">
        <is>
          <t>core: neo_mac_core / stuck-at / weight registers excluded</t>
        </is>
      </c>
      <c r="J9" s="6" t="n">
        <v>921</v>
      </c>
      <c r="K9" s="6" t="n">
        <v>509</v>
      </c>
      <c r="L9" s="6" t="n">
        <v>367</v>
      </c>
      <c r="M9" s="6" t="n">
        <v>45</v>
      </c>
      <c r="N9" s="16" t="n">
        <v>0.3984799131378935</v>
      </c>
      <c r="O9" s="14" t="n">
        <v>0.9187725631768953</v>
      </c>
      <c r="P9" s="6" t="inlineStr">
        <is>
          <t>89.3 % .. 93.9 % (554)</t>
        </is>
      </c>
      <c r="Q9" s="16" t="n">
        <v>0.9187725631768953</v>
      </c>
      <c r="R9" s="14">
        <f>D9*E9*F9*G9*(1-N9)*(1-Q9)</f>
        <v/>
      </c>
      <c r="S9" s="15" t="n">
        <v>0</v>
      </c>
      <c r="T9" s="6" t="inlineStr">
        <is>
          <t>n/a</t>
        </is>
      </c>
      <c r="U9" s="16" t="n">
        <v>0</v>
      </c>
      <c r="V9" s="14">
        <f>D9*E9*F9*S9*(1-U9)</f>
        <v/>
      </c>
      <c r="W9" s="6" t="inlineStr">
        <is>
          <t>abft_checker PASS (prove, 0.4 s)</t>
        </is>
      </c>
      <c r="X9" s="14" t="n">
        <v>0.97</v>
      </c>
      <c r="Y9" s="14" t="n">
        <v>0.001342857142857144</v>
      </c>
      <c r="Z9" s="6" t="inlineStr">
        <is>
          <t>measured</t>
        </is>
      </c>
    </row>
    <row r="10">
      <c r="A10" s="6" t="inlineStr">
        <is>
          <t>ABFT checker (array output)</t>
        </is>
      </c>
      <c r="B10" s="6" t="inlineStr">
        <is>
          <t>Stuck at 'no error' (false negative)</t>
        </is>
      </c>
      <c r="C10" s="6" t="inlineStr">
        <is>
          <t>permanent</t>
        </is>
      </c>
      <c r="D10" s="14">
        <f>Assumptions!$B$22*0.02</f>
        <v/>
      </c>
      <c r="E10" s="15" t="n">
        <v>1</v>
      </c>
      <c r="F10" s="16" t="n">
        <v>0.5</v>
      </c>
      <c r="G10" s="15" t="n">
        <v>0</v>
      </c>
      <c r="H10" s="6" t="inlineStr">
        <is>
          <t>none needed alone (does not violate SG by itself)</t>
        </is>
      </c>
      <c r="I10" s="6" t="inlineStr">
        <is>
          <t>core: neo_mac_core.abft_checker, acc_bank.abft_checker</t>
        </is>
      </c>
      <c r="J10" s="6" t="n">
        <v>70</v>
      </c>
      <c r="K10" s="6" t="n">
        <v>35</v>
      </c>
      <c r="L10" s="6" t="n">
        <v>35</v>
      </c>
      <c r="M10" s="6" t="n">
        <v>0</v>
      </c>
      <c r="N10" s="16" t="n">
        <v>0</v>
      </c>
      <c r="O10" s="14" t="n"/>
      <c r="P10" s="6" t="inlineStr"/>
      <c r="Q10" s="16" t="n">
        <v>0</v>
      </c>
      <c r="R10" s="14">
        <f>D10*E10*F10*G10*(1-N10)*(1-Q10)</f>
        <v/>
      </c>
      <c r="S10" s="15" t="n">
        <v>1</v>
      </c>
      <c r="T10" s="6" t="inlineStr">
        <is>
          <t>Periodic self-test: inject one known fault per FTTI via the fault hook, expect a flag</t>
        </is>
      </c>
      <c r="U10" s="16" t="n">
        <v>0.9</v>
      </c>
      <c r="V10" s="14">
        <f>D10*E10*F10*S10*(1-U10)</f>
        <v/>
      </c>
      <c r="W10" s="6" t="inlineStr">
        <is>
          <t>abft_checker PASS (prove, 0.4 s)</t>
        </is>
      </c>
      <c r="X10" s="14" t="n">
        <v>0</v>
      </c>
      <c r="Y10" s="14" t="n">
        <v>0</v>
      </c>
      <c r="Z10" s="6" t="inlineStr">
        <is>
          <t>claim; latent: the island's periodic self-test is the mechanism (not part of a C1 run); the faults show what a checker fault alone does (no wrong result expected: SPF 0); checker faults: 70 run, 35 detected (safe side), 35 masked, 0 dangerous</t>
        </is>
      </c>
    </row>
    <row r="11">
      <c r="A11" s="6" t="inlineStr">
        <is>
          <t>ABFT checker (array output)</t>
        </is>
      </c>
      <c r="B11" s="6" t="inlineStr">
        <is>
          <t>False positive (spurious error)</t>
        </is>
      </c>
      <c r="C11" s="6" t="inlineStr">
        <is>
          <t>permanent</t>
        </is>
      </c>
      <c r="D11" s="14">
        <f>Assumptions!$B$22*0.02</f>
        <v/>
      </c>
      <c r="E11" s="15" t="n">
        <v>1</v>
      </c>
      <c r="F11" s="16" t="n">
        <v>0.5</v>
      </c>
      <c r="G11" s="15" t="n">
        <v>0</v>
      </c>
      <c r="H11" s="6" t="inlineStr">
        <is>
          <t>safe failure: leads to safe state</t>
        </is>
      </c>
      <c r="I11" s="6" t="inlineStr">
        <is>
          <t>-</t>
        </is>
      </c>
      <c r="J11" s="6" t="n"/>
      <c r="K11" s="6" t="n"/>
      <c r="L11" s="6" t="n"/>
      <c r="M11" s="6" t="n"/>
      <c r="N11" s="16" t="n">
        <v>0</v>
      </c>
      <c r="O11" s="14" t="n"/>
      <c r="P11" s="6" t="inlineStr"/>
      <c r="Q11" s="16" t="n">
        <v>0</v>
      </c>
      <c r="R11" s="14">
        <f>D11*E11*F11*G11*(1-N11)*(1-Q11)</f>
        <v/>
      </c>
      <c r="S11" s="15" t="n">
        <v>0</v>
      </c>
      <c r="T11" s="6" t="inlineStr">
        <is>
          <t>n/a</t>
        </is>
      </c>
      <c r="U11" s="16" t="n">
        <v>0</v>
      </c>
      <c r="V11" s="14">
        <f>D11*E11*F11*S11*(1-U11)</f>
        <v/>
      </c>
      <c r="W11" s="6" t="inlineStr"/>
      <c r="X11" s="14" t="n">
        <v>0</v>
      </c>
      <c r="Y11" s="14" t="n">
        <v>0</v>
      </c>
      <c r="Z11" s="6" t="inlineStr">
        <is>
          <t>claim; safe failure mode</t>
        </is>
      </c>
    </row>
    <row r="12">
      <c r="A12" s="6" t="inlineStr">
        <is>
          <t>Accumulator SRAM (64 KB)</t>
        </is>
      </c>
      <c r="B12" s="6" t="inlineStr">
        <is>
          <t>Single-bit upset</t>
        </is>
      </c>
      <c r="C12" s="6" t="inlineStr">
        <is>
          <t>transient</t>
        </is>
      </c>
      <c r="D12" s="14">
        <f>Assumptions!$B$23*0.97</f>
        <v/>
      </c>
      <c r="E12" s="15" t="n">
        <v>1</v>
      </c>
      <c r="F12" s="16" t="n">
        <v>1</v>
      </c>
      <c r="G12" s="15" t="n">
        <v>1</v>
      </c>
      <c r="H12" s="6" t="inlineStr">
        <is>
          <t>SECDED ECC (correct) and ABFT at drain (independent detection)</t>
        </is>
      </c>
      <c r="I12" s="6" t="inlineStr">
        <is>
          <t>core: acc_bank.sram / flips</t>
        </is>
      </c>
      <c r="J12" s="6" t="n">
        <v>200</v>
      </c>
      <c r="K12" s="6" t="n">
        <v>121</v>
      </c>
      <c r="L12" s="6" t="n">
        <v>79</v>
      </c>
      <c r="M12" s="6" t="n">
        <v>0</v>
      </c>
      <c r="N12" s="16" t="n">
        <v>0.3949999999999999</v>
      </c>
      <c r="O12" s="14" t="n">
        <v>1</v>
      </c>
      <c r="P12" s="6" t="inlineStr">
        <is>
          <t>96.9 % .. 100.0 % (121)</t>
        </is>
      </c>
      <c r="Q12" s="16" t="n">
        <v>1</v>
      </c>
      <c r="R12" s="14">
        <f>D12*E12*F12*G12*(1-N12)*(1-Q12)</f>
        <v/>
      </c>
      <c r="S12" s="15" t="n">
        <v>0</v>
      </c>
      <c r="T12" s="6" t="inlineStr">
        <is>
          <t>n/a</t>
        </is>
      </c>
      <c r="U12" s="16" t="n">
        <v>0</v>
      </c>
      <c r="V12" s="14">
        <f>D12*E12*F12*S12*(1-U12)</f>
        <v/>
      </c>
      <c r="W12" s="6" t="inlineStr">
        <is>
          <t>abft_checker PASS (prove, 0.4 s)</t>
        </is>
      </c>
      <c r="X12" s="14" t="n">
        <v>0.9999</v>
      </c>
      <c r="Y12" s="14" t="n">
        <v>0.0290999999999968</v>
      </c>
      <c r="Z12" s="6" t="inlineStr">
        <is>
          <t>measured</t>
        </is>
      </c>
    </row>
    <row r="13">
      <c r="A13" s="6" t="inlineStr">
        <is>
          <t>Accumulator SRAM (64 KB)</t>
        </is>
      </c>
      <c r="B13" s="6" t="inlineStr">
        <is>
          <t>Multi-bit upset in one word</t>
        </is>
      </c>
      <c r="C13" s="6" t="inlineStr">
        <is>
          <t>transient</t>
        </is>
      </c>
      <c r="D13" s="14">
        <f>Assumptions!$B$23*0.03</f>
        <v/>
      </c>
      <c r="E13" s="15" t="n">
        <v>1</v>
      </c>
      <c r="F13" s="16" t="n">
        <v>1</v>
      </c>
      <c r="G13" s="15" t="n">
        <v>1</v>
      </c>
      <c r="H13" s="6" t="inlineStr">
        <is>
          <t>SECDED detect + ABFT at drain</t>
        </is>
      </c>
      <c r="I13" s="6" t="inlineStr">
        <is>
          <t>-</t>
        </is>
      </c>
      <c r="J13" s="6" t="n"/>
      <c r="K13" s="6" t="n"/>
      <c r="L13" s="6" t="n"/>
      <c r="M13" s="6" t="n"/>
      <c r="N13" s="16" t="n">
        <v>0</v>
      </c>
      <c r="O13" s="14" t="n"/>
      <c r="P13" s="6" t="inlineStr"/>
      <c r="Q13" s="16" t="n">
        <v>0.999</v>
      </c>
      <c r="R13" s="14">
        <f>D13*E13*F13*G13*(1-N13)*(1-Q13)</f>
        <v/>
      </c>
      <c r="S13" s="15" t="n">
        <v>0</v>
      </c>
      <c r="T13" s="6" t="inlineStr">
        <is>
          <t>n/a</t>
        </is>
      </c>
      <c r="U13" s="16" t="n">
        <v>0</v>
      </c>
      <c r="V13" s="14">
        <f>D13*E13*F13*S13*(1-U13)</f>
        <v/>
      </c>
      <c r="W13" s="6" t="inlineStr"/>
      <c r="X13" s="14" t="n">
        <v>0.999</v>
      </c>
      <c r="Y13" s="14" t="n">
        <v>0.009000000000000008</v>
      </c>
      <c r="Z13" s="6" t="inlineStr">
        <is>
          <t>claim; multi-bit upsets are not injected (single-bit campaign); the single-bit row measures the same mechanism (ABFT at drain)</t>
        </is>
      </c>
    </row>
    <row r="14">
      <c r="A14" s="6" t="inlineStr">
        <is>
          <t>Accumulator SRAM (64 KB)</t>
        </is>
      </c>
      <c r="B14" s="6" t="inlineStr">
        <is>
          <t>Stuck cell or decoder fault</t>
        </is>
      </c>
      <c r="C14" s="6" t="inlineStr">
        <is>
          <t>permanent</t>
        </is>
      </c>
      <c r="D14" s="14">
        <f>Assumptions!$B$22*0.08</f>
        <v/>
      </c>
      <c r="E14" s="15" t="n">
        <v>1</v>
      </c>
      <c r="F14" s="16" t="n">
        <v>1</v>
      </c>
      <c r="G14" s="15" t="n">
        <v>1</v>
      </c>
      <c r="H14" s="6" t="inlineStr">
        <is>
          <t>ECC, ABFT at drain, MBIST at boot</t>
        </is>
      </c>
      <c r="I14" s="6" t="inlineStr">
        <is>
          <t>core: acc_bank.sram / stuck-at</t>
        </is>
      </c>
      <c r="J14" s="6" t="n">
        <v>41</v>
      </c>
      <c r="K14" s="6" t="n">
        <v>18</v>
      </c>
      <c r="L14" s="6" t="n">
        <v>23</v>
      </c>
      <c r="M14" s="6" t="n">
        <v>0</v>
      </c>
      <c r="N14" s="16" t="n">
        <v>0.5609756097560976</v>
      </c>
      <c r="O14" s="14" t="n">
        <v>1</v>
      </c>
      <c r="P14" s="6" t="inlineStr">
        <is>
          <t>82.4 % .. 100.0 % (18)</t>
        </is>
      </c>
      <c r="Q14" s="16" t="n">
        <v>1</v>
      </c>
      <c r="R14" s="14">
        <f>D14*E14*F14*G14*(1-N14)*(1-Q14)</f>
        <v/>
      </c>
      <c r="S14" s="15" t="n">
        <v>0</v>
      </c>
      <c r="T14" s="6" t="inlineStr">
        <is>
          <t>n/a</t>
        </is>
      </c>
      <c r="U14" s="16" t="n">
        <v>0</v>
      </c>
      <c r="V14" s="14">
        <f>D14*E14*F14*S14*(1-U14)</f>
        <v/>
      </c>
      <c r="W14" s="6" t="inlineStr">
        <is>
          <t>abft_checker PASS (prove, 0.4 s)</t>
        </is>
      </c>
      <c r="X14" s="14" t="n">
        <v>0.999</v>
      </c>
      <c r="Y14" s="14" t="n">
        <v>3.580952380952384e-05</v>
      </c>
      <c r="Z14" s="6" t="inlineStr">
        <is>
          <t>measured</t>
        </is>
      </c>
    </row>
    <row r="15">
      <c r="A15" s="6" t="inlineStr">
        <is>
          <t>Activation buffer SRAM (32 KB)</t>
        </is>
      </c>
      <c r="B15" s="6" t="inlineStr">
        <is>
          <t>Single-bit upset</t>
        </is>
      </c>
      <c r="C15" s="6" t="inlineStr">
        <is>
          <t>transient</t>
        </is>
      </c>
      <c r="D15" s="14">
        <f>Assumptions!$B$24*0.97</f>
        <v/>
      </c>
      <c r="E15" s="15" t="n">
        <v>1</v>
      </c>
      <c r="F15" s="16" t="n">
        <v>1</v>
      </c>
      <c r="G15" s="15" t="n">
        <v>1</v>
      </c>
      <c r="H15" s="6" t="inlineStr">
        <is>
          <t>SECDED ECC; end-to-end CRC from the DMA (ABFT cannot see a wrong input)</t>
        </is>
      </c>
      <c r="I15" s="6" t="inlineStr">
        <is>
          <t>core: act_feeder.sram / flips</t>
        </is>
      </c>
      <c r="J15" s="6" t="n">
        <v>199</v>
      </c>
      <c r="K15" s="6" t="n">
        <v>0</v>
      </c>
      <c r="L15" s="6" t="n">
        <v>160</v>
      </c>
      <c r="M15" s="6" t="n">
        <v>39</v>
      </c>
      <c r="N15" s="16" t="n">
        <v>0.8040201005025126</v>
      </c>
      <c r="O15" s="14" t="n">
        <v>0</v>
      </c>
      <c r="P15" s="6" t="inlineStr">
        <is>
          <t>0.0 % .. 9.0 % (39)</t>
        </is>
      </c>
      <c r="Q15" s="16" t="n">
        <v>0</v>
      </c>
      <c r="R15" s="14">
        <f>D15*E15*F15*G15*(1-N15)*(1-Q15)</f>
        <v/>
      </c>
      <c r="S15" s="15" t="n">
        <v>0</v>
      </c>
      <c r="T15" s="6" t="inlineStr">
        <is>
          <t>n/a</t>
        </is>
      </c>
      <c r="U15" s="16" t="n">
        <v>0</v>
      </c>
      <c r="V15" s="14">
        <f>D15*E15*F15*S15*(1-U15)</f>
        <v/>
      </c>
      <c r="W15" s="6" t="inlineStr"/>
      <c r="X15" s="14" t="n">
        <v>0.999</v>
      </c>
      <c r="Y15" s="14" t="n">
        <v>0.1455000000000001</v>
      </c>
      <c r="Z15" s="6" t="inlineStr">
        <is>
          <t>measured</t>
        </is>
      </c>
    </row>
    <row r="16">
      <c r="A16" s="6" t="inlineStr">
        <is>
          <t>Activation buffer SRAM (32 KB)</t>
        </is>
      </c>
      <c r="B16" s="6" t="inlineStr">
        <is>
          <t>Multi-bit upset or stuck cell (transient part)</t>
        </is>
      </c>
      <c r="C16" s="6" t="inlineStr">
        <is>
          <t>transient</t>
        </is>
      </c>
      <c r="D16" s="14">
        <f>Assumptions!$B$24*0.03</f>
        <v/>
      </c>
      <c r="E16" s="15" t="n">
        <v>1</v>
      </c>
      <c r="F16" s="16" t="n">
        <v>1</v>
      </c>
      <c r="G16" s="15" t="n">
        <v>1</v>
      </c>
      <c r="H16" s="6" t="inlineStr">
        <is>
          <t>SECDED detect, E2E CRC, MBIST</t>
        </is>
      </c>
      <c r="I16" s="6" t="inlineStr">
        <is>
          <t>core: act_feeder.sram / flips</t>
        </is>
      </c>
      <c r="J16" s="6" t="n">
        <v>199</v>
      </c>
      <c r="K16" s="6" t="n">
        <v>0</v>
      </c>
      <c r="L16" s="6" t="n">
        <v>160</v>
      </c>
      <c r="M16" s="6" t="n">
        <v>39</v>
      </c>
      <c r="N16" s="16" t="n">
        <v>0.8040201005025126</v>
      </c>
      <c r="O16" s="14" t="n">
        <v>0</v>
      </c>
      <c r="P16" s="6" t="inlineStr">
        <is>
          <t>0.0 % .. 9.0 % (39)</t>
        </is>
      </c>
      <c r="Q16" s="16" t="n">
        <v>0</v>
      </c>
      <c r="R16" s="14">
        <f>D16*E16*F16*G16*(1-N16)*(1-Q16)</f>
        <v/>
      </c>
      <c r="S16" s="15" t="n">
        <v>0</v>
      </c>
      <c r="T16" s="6" t="inlineStr">
        <is>
          <t>n/a</t>
        </is>
      </c>
      <c r="U16" s="16" t="n">
        <v>0</v>
      </c>
      <c r="V16" s="14">
        <f>D16*E16*F16*S16*(1-U16)</f>
        <v/>
      </c>
      <c r="W16" s="6" t="inlineStr"/>
      <c r="X16" s="14" t="n">
        <v>0.99</v>
      </c>
      <c r="Y16" s="14" t="n">
        <v>0.04500000000000004</v>
      </c>
      <c r="Z16" s="6" t="inlineStr">
        <is>
          <t>measured; multi-bit upsets measured by the single-bit faults: the array carries no code, so what one flipped bit does unseen two do</t>
        </is>
      </c>
    </row>
    <row r="17">
      <c r="A17" s="6" t="inlineStr">
        <is>
          <t>Activation buffer SRAM (32 KB)</t>
        </is>
      </c>
      <c r="B17" s="6" t="inlineStr">
        <is>
          <t>Multi-bit upset or stuck cell (permanent part)</t>
        </is>
      </c>
      <c r="C17" s="6" t="inlineStr">
        <is>
          <t>permanent</t>
        </is>
      </c>
      <c r="D17" s="14">
        <f>Assumptions!$B$22*0.05</f>
        <v/>
      </c>
      <c r="E17" s="15" t="n">
        <v>1</v>
      </c>
      <c r="F17" s="16" t="n">
        <v>1</v>
      </c>
      <c r="G17" s="15" t="n">
        <v>1</v>
      </c>
      <c r="H17" s="6" t="inlineStr">
        <is>
          <t>SECDED detect, E2E CRC, MBIST</t>
        </is>
      </c>
      <c r="I17" s="6" t="inlineStr">
        <is>
          <t>core: act_feeder.sram / stuck-at</t>
        </is>
      </c>
      <c r="J17" s="6" t="n">
        <v>44</v>
      </c>
      <c r="K17" s="6" t="n">
        <v>0</v>
      </c>
      <c r="L17" s="6" t="n">
        <v>39</v>
      </c>
      <c r="M17" s="6" t="n">
        <v>5</v>
      </c>
      <c r="N17" s="16" t="n">
        <v>0.8863636363636364</v>
      </c>
      <c r="O17" s="14" t="n">
        <v>0</v>
      </c>
      <c r="P17" s="6" t="inlineStr">
        <is>
          <t>0.0 % .. 43.4 % (5)</t>
        </is>
      </c>
      <c r="Q17" s="16" t="n">
        <v>0</v>
      </c>
      <c r="R17" s="14">
        <f>D17*E17*F17*G17*(1-N17)*(1-Q17)</f>
        <v/>
      </c>
      <c r="S17" s="15" t="n">
        <v>0</v>
      </c>
      <c r="T17" s="6" t="inlineStr">
        <is>
          <t>n/a</t>
        </is>
      </c>
      <c r="U17" s="16" t="n">
        <v>0</v>
      </c>
      <c r="V17" s="14">
        <f>D17*E17*F17*S17*(1-U17)</f>
        <v/>
      </c>
      <c r="W17" s="6" t="inlineStr"/>
      <c r="X17" s="14" t="n">
        <v>0.99</v>
      </c>
      <c r="Y17" s="14" t="n">
        <v>0.000223809523809524</v>
      </c>
      <c r="Z17" s="6" t="inlineStr">
        <is>
          <t>measured</t>
        </is>
      </c>
    </row>
    <row r="18">
      <c r="A18" s="6" t="inlineStr">
        <is>
          <t>Feeder address generator and run FSM</t>
        </is>
      </c>
      <c r="B18" s="6" t="inlineStr">
        <is>
          <t>Wrong address, wrong sequence, early stop</t>
        </is>
      </c>
      <c r="C18" s="6" t="inlineStr">
        <is>
          <t>permanent</t>
        </is>
      </c>
      <c r="D18" s="14">
        <f>Assumptions!$B$22*0.06</f>
        <v/>
      </c>
      <c r="E18" s="15" t="n">
        <v>1</v>
      </c>
      <c r="F18" s="16" t="n">
        <v>1</v>
      </c>
      <c r="G18" s="15" t="n">
        <v>1</v>
      </c>
      <c r="H18" s="6" t="inlineStr">
        <is>
          <t>Duplicated address generator with comparator (DCLS-style)</t>
        </is>
      </c>
      <c r="I18" s="6" t="inlineStr">
        <is>
          <t>core: act_feeder, act_feeder.macro / stuck-at</t>
        </is>
      </c>
      <c r="J18" s="6" t="n">
        <v>37</v>
      </c>
      <c r="K18" s="6" t="n">
        <v>26</v>
      </c>
      <c r="L18" s="6" t="n">
        <v>11</v>
      </c>
      <c r="M18" s="6" t="n">
        <v>0</v>
      </c>
      <c r="N18" s="16" t="n">
        <v>0.4098890740091197</v>
      </c>
      <c r="O18" s="14" t="n">
        <v>1</v>
      </c>
      <c r="P18" s="6" t="inlineStr">
        <is>
          <t>79.5 % .. 100.0 % (15)</t>
        </is>
      </c>
      <c r="Q18" s="16" t="n">
        <v>1</v>
      </c>
      <c r="R18" s="14">
        <f>D18*E18*F18*G18*(1-N18)*(1-Q18)</f>
        <v/>
      </c>
      <c r="S18" s="15" t="n">
        <v>0</v>
      </c>
      <c r="T18" s="6" t="inlineStr">
        <is>
          <t>n/a</t>
        </is>
      </c>
      <c r="U18" s="16" t="n">
        <v>0</v>
      </c>
      <c r="V18" s="14">
        <f>D18*E18*F18*S18*(1-U18)</f>
        <v/>
      </c>
      <c r="W18" s="6" t="inlineStr"/>
      <c r="X18" s="14" t="n">
        <v>0.99</v>
      </c>
      <c r="Y18" s="14" t="n">
        <v>0.0002685714285714288</v>
      </c>
      <c r="Z18" s="6" t="inlineStr">
        <is>
          <t>measured</t>
        </is>
      </c>
    </row>
    <row r="19">
      <c r="A19" s="6" t="inlineStr">
        <is>
          <t>Feeder address generator and run FSM</t>
        </is>
      </c>
      <c r="B19" s="6" t="inlineStr">
        <is>
          <t>Bit flip in counters</t>
        </is>
      </c>
      <c r="C19" s="6" t="inlineStr">
        <is>
          <t>transient</t>
        </is>
      </c>
      <c r="D19" s="14">
        <f>Assumptions!$B$26*0.15</f>
        <v/>
      </c>
      <c r="E19" s="15" t="n">
        <v>1</v>
      </c>
      <c r="F19" s="16" t="n">
        <v>1</v>
      </c>
      <c r="G19" s="15" t="n">
        <v>1</v>
      </c>
      <c r="H19" s="6" t="inlineStr">
        <is>
          <t>Duplicated address generator with comparator</t>
        </is>
      </c>
      <c r="I19" s="6" t="inlineStr">
        <is>
          <t>core: act_feeder, act_feeder.macro / flips</t>
        </is>
      </c>
      <c r="J19" s="6" t="n">
        <v>38</v>
      </c>
      <c r="K19" s="6" t="n">
        <v>15</v>
      </c>
      <c r="L19" s="6" t="n">
        <v>23</v>
      </c>
      <c r="M19" s="6" t="n">
        <v>0</v>
      </c>
      <c r="N19" s="16" t="n">
        <v>0.6148381924642035</v>
      </c>
      <c r="O19" s="14" t="n">
        <v>1</v>
      </c>
      <c r="P19" s="6" t="inlineStr">
        <is>
          <t>73.0 % .. 100.0 % (10)</t>
        </is>
      </c>
      <c r="Q19" s="16" t="n">
        <v>1</v>
      </c>
      <c r="R19" s="14">
        <f>D19*E19*F19*G19*(1-N19)*(1-Q19)</f>
        <v/>
      </c>
      <c r="S19" s="15" t="n">
        <v>0</v>
      </c>
      <c r="T19" s="6" t="inlineStr">
        <is>
          <t>n/a</t>
        </is>
      </c>
      <c r="U19" s="16" t="n">
        <v>0</v>
      </c>
      <c r="V19" s="14">
        <f>D19*E19*F19*S19*(1-U19)</f>
        <v/>
      </c>
      <c r="W19" s="6" t="inlineStr"/>
      <c r="X19" s="14" t="n">
        <v>0.99</v>
      </c>
      <c r="Y19" s="14" t="n">
        <v>0.006000000000000005</v>
      </c>
      <c r="Z19" s="6" t="inlineStr">
        <is>
          <t>measured</t>
        </is>
      </c>
    </row>
    <row r="20">
      <c r="A20" s="6" t="inlineStr">
        <is>
          <t>Accumulator write/read control and index pipeline</t>
        </is>
      </c>
      <c r="B20" s="6" t="inlineStr">
        <is>
          <t>Wrong row index or first flag (permanent part)</t>
        </is>
      </c>
      <c r="C20" s="6" t="inlineStr">
        <is>
          <t>permanent</t>
        </is>
      </c>
      <c r="D20" s="14">
        <f>Assumptions!$B$22*0.03</f>
        <v/>
      </c>
      <c r="E20" s="15" t="n">
        <v>1</v>
      </c>
      <c r="F20" s="16" t="n">
        <v>1</v>
      </c>
      <c r="G20" s="15" t="n">
        <v>1</v>
      </c>
      <c r="H20" s="6" t="inlineStr">
        <is>
          <t>Parity on index/first delay lines; ABFT at drain catches mixed rows only partially</t>
        </is>
      </c>
      <c r="I20" s="6" t="inlineStr">
        <is>
          <t>core: acc_bank, acc_bank.macro, neo_mac_core_v02 / stuck-at</t>
        </is>
      </c>
      <c r="J20" s="6" t="n">
        <v>62</v>
      </c>
      <c r="K20" s="6" t="n">
        <v>22</v>
      </c>
      <c r="L20" s="6" t="n">
        <v>21</v>
      </c>
      <c r="M20" s="6" t="n">
        <v>19</v>
      </c>
      <c r="N20" s="16" t="n">
        <v>0.4424273193179691</v>
      </c>
      <c r="O20" s="14" t="n">
        <v>0.4595439296785426</v>
      </c>
      <c r="P20" s="6" t="inlineStr">
        <is>
          <t>29.6 % .. 63.3 % (30)</t>
        </is>
      </c>
      <c r="Q20" s="16" t="n">
        <v>0.4595439296785426</v>
      </c>
      <c r="R20" s="14">
        <f>D20*E20*F20*G20*(1-N20)*(1-Q20)</f>
        <v/>
      </c>
      <c r="S20" s="15" t="n">
        <v>0</v>
      </c>
      <c r="T20" s="6" t="inlineStr">
        <is>
          <t>n/a</t>
        </is>
      </c>
      <c r="U20" s="16" t="n">
        <v>0</v>
      </c>
      <c r="V20" s="14">
        <f>D20*E20*F20*S20*(1-U20)</f>
        <v/>
      </c>
      <c r="W20" s="6" t="inlineStr"/>
      <c r="X20" s="14" t="n">
        <v>0.95</v>
      </c>
      <c r="Y20" s="14" t="n">
        <v>0.0006714285714285721</v>
      </c>
      <c r="Z20" s="6" t="inlineStr">
        <is>
          <t>measured</t>
        </is>
      </c>
    </row>
    <row r="21">
      <c r="A21" s="6" t="inlineStr">
        <is>
          <t>Accumulator write/read control and index pipeline</t>
        </is>
      </c>
      <c r="B21" s="6" t="inlineStr">
        <is>
          <t>Wrong row index or first flag (transient part)</t>
        </is>
      </c>
      <c r="C21" s="6" t="inlineStr">
        <is>
          <t>transient</t>
        </is>
      </c>
      <c r="D21" s="14">
        <f>Assumptions!$B$26*0.15</f>
        <v/>
      </c>
      <c r="E21" s="15" t="n">
        <v>1</v>
      </c>
      <c r="F21" s="16" t="n">
        <v>1</v>
      </c>
      <c r="G21" s="15" t="n">
        <v>1</v>
      </c>
      <c r="H21" s="6" t="inlineStr">
        <is>
          <t>Parity on index/first delay lines; ABFT at drain catches mixed rows only partially</t>
        </is>
      </c>
      <c r="I21" s="6" t="inlineStr">
        <is>
          <t>core: acc_bank, acc_bank.macro, neo_mac_core_v02 / flips</t>
        </is>
      </c>
      <c r="J21" s="6" t="n">
        <v>63</v>
      </c>
      <c r="K21" s="6" t="n">
        <v>16</v>
      </c>
      <c r="L21" s="6" t="n">
        <v>35</v>
      </c>
      <c r="M21" s="6" t="n">
        <v>12</v>
      </c>
      <c r="N21" s="16" t="n">
        <v>0.6171617422314615</v>
      </c>
      <c r="O21" s="14" t="n">
        <v>0.5227243323514467</v>
      </c>
      <c r="P21" s="6" t="inlineStr">
        <is>
          <t>32.2 % .. 71.7 % (21)</t>
        </is>
      </c>
      <c r="Q21" s="16" t="n">
        <v>0.5227243323514467</v>
      </c>
      <c r="R21" s="14">
        <f>D21*E21*F21*G21*(1-N21)*(1-Q21)</f>
        <v/>
      </c>
      <c r="S21" s="15" t="n">
        <v>0</v>
      </c>
      <c r="T21" s="6" t="inlineStr">
        <is>
          <t>n/a</t>
        </is>
      </c>
      <c r="U21" s="16" t="n">
        <v>0</v>
      </c>
      <c r="V21" s="14">
        <f>D21*E21*F21*S21*(1-U21)</f>
        <v/>
      </c>
      <c r="W21" s="6" t="inlineStr"/>
      <c r="X21" s="14" t="n">
        <v>0.95</v>
      </c>
      <c r="Y21" s="14" t="n">
        <v>0.03000000000000003</v>
      </c>
      <c r="Z21" s="6" t="inlineStr">
        <is>
          <t>measured</t>
        </is>
      </c>
    </row>
    <row r="22">
      <c r="A22" s="6" t="inlineStr">
        <is>
          <t>Clock and reset distribution in the core</t>
        </is>
      </c>
      <c r="B22" s="6" t="inlineStr">
        <is>
          <t>Clock stuck, glitch, reset glitch</t>
        </is>
      </c>
      <c r="C22" s="6" t="inlineStr">
        <is>
          <t>permanent</t>
        </is>
      </c>
      <c r="D22" s="14">
        <f>Assumptions!$B$22*0.02</f>
        <v/>
      </c>
      <c r="E22" s="15" t="n">
        <v>1</v>
      </c>
      <c r="F22" s="16" t="n">
        <v>1</v>
      </c>
      <c r="G22" s="15" t="n">
        <v>1</v>
      </c>
      <c r="H22" s="6" t="inlineStr">
        <is>
          <t>Clock monitor and watchdog in the safety island</t>
        </is>
      </c>
      <c r="I22" s="6" t="inlineStr">
        <is>
          <t>-</t>
        </is>
      </c>
      <c r="J22" s="6" t="n"/>
      <c r="K22" s="6" t="n"/>
      <c r="L22" s="6" t="n"/>
      <c r="M22" s="6" t="n"/>
      <c r="N22" s="16" t="n">
        <v>0</v>
      </c>
      <c r="O22" s="14" t="n"/>
      <c r="P22" s="6" t="inlineStr"/>
      <c r="Q22" s="16" t="n">
        <v>0.9</v>
      </c>
      <c r="R22" s="14">
        <f>D22*E22*F22*G22*(1-N22)*(1-Q22)</f>
        <v/>
      </c>
      <c r="S22" s="15" t="n">
        <v>0</v>
      </c>
      <c r="T22" s="6" t="inlineStr">
        <is>
          <t>n/a</t>
        </is>
      </c>
      <c r="U22" s="16" t="n">
        <v>0</v>
      </c>
      <c r="V22" s="14">
        <f>D22*E22*F22*S22*(1-U22)</f>
        <v/>
      </c>
      <c r="W22" s="6" t="inlineStr"/>
      <c r="X22" s="14" t="n">
        <v>0.9</v>
      </c>
      <c r="Y22" s="14" t="n">
        <v>0.0008952380952380951</v>
      </c>
      <c r="Z22" s="6" t="inlineStr">
        <is>
          <t>claim; clock and reset are not flops: not injectable at RTL (the watchdog's hang detection is measured on the tile build)</t>
        </is>
      </c>
    </row>
    <row r="23">
      <c r="A23" s="6" t="inlineStr">
        <is>
          <t>NoC interface (requests, responses)</t>
        </is>
      </c>
      <c r="B23" s="6" t="inlineStr">
        <is>
          <t>Corrupted packet, lost packet (permanent part)</t>
        </is>
      </c>
      <c r="C23" s="6" t="inlineStr">
        <is>
          <t>permanent</t>
        </is>
      </c>
      <c r="D23" s="14">
        <f>Assumptions!$B$22*0.04</f>
        <v/>
      </c>
      <c r="E23" s="15" t="n">
        <v>1</v>
      </c>
      <c r="F23" s="16" t="n">
        <v>1</v>
      </c>
      <c r="G23" s="15" t="n">
        <v>1</v>
      </c>
      <c r="H23" s="6" t="inlineStr">
        <is>
          <t>Packet parity/CRC, timeout, sequence numbers</t>
        </is>
      </c>
      <c r="I23" s="6" t="inlineStr">
        <is>
          <t>tile: tile_nic, tile_nic.sram, tile_nic.macro, link_packer, link_unpacker / stuck-at</t>
        </is>
      </c>
      <c r="J23" s="6" t="n">
        <v>296</v>
      </c>
      <c r="K23" s="6" t="n">
        <v>21</v>
      </c>
      <c r="L23" s="6" t="n">
        <v>264</v>
      </c>
      <c r="M23" s="6" t="n">
        <v>11</v>
      </c>
      <c r="N23" s="16" t="n">
        <v>0.8732425523565558</v>
      </c>
      <c r="O23" s="14" t="n">
        <v>0.1673908496116747</v>
      </c>
      <c r="P23" s="6" t="inlineStr">
        <is>
          <t>2.6 % .. 60.0 % (5)</t>
        </is>
      </c>
      <c r="Q23" s="16" t="n">
        <v>0.1673908496116747</v>
      </c>
      <c r="R23" s="14">
        <f>D23*E23*F23*G23*(1-N23)*(1-Q23)</f>
        <v/>
      </c>
      <c r="S23" s="15" t="n">
        <v>0</v>
      </c>
      <c r="T23" s="6" t="inlineStr">
        <is>
          <t>n/a</t>
        </is>
      </c>
      <c r="U23" s="16" t="n">
        <v>0</v>
      </c>
      <c r="V23" s="14">
        <f>D23*E23*F23*S23*(1-U23)</f>
        <v/>
      </c>
      <c r="W23" s="6" t="inlineStr">
        <is>
          <t>crc16_beat_bw4 PASS (prove, 1.3 s); crc16_beat_bw16 PASS (prove, 22.5 s); link_pack_stream PASS (prove, 212.4 s); link_pack_parity PASS (prove, 13.1 s)</t>
        </is>
      </c>
      <c r="X23" s="14" t="n">
        <v>0.99</v>
      </c>
      <c r="Y23" s="14" t="n">
        <v>0.0001790476190476192</v>
      </c>
      <c r="Z23" s="6" t="inlineStr">
        <is>
          <t>measured</t>
        </is>
      </c>
    </row>
    <row r="24">
      <c r="A24" s="6" t="inlineStr">
        <is>
          <t>NoC interface (requests, responses)</t>
        </is>
      </c>
      <c r="B24" s="6" t="inlineStr">
        <is>
          <t>Corrupted packet, lost packet (transient part)</t>
        </is>
      </c>
      <c r="C24" s="6" t="inlineStr">
        <is>
          <t>transient</t>
        </is>
      </c>
      <c r="D24" s="14">
        <f>Assumptions!$B$26*0.1</f>
        <v/>
      </c>
      <c r="E24" s="15" t="n">
        <v>1</v>
      </c>
      <c r="F24" s="16" t="n">
        <v>1</v>
      </c>
      <c r="G24" s="15" t="n">
        <v>1</v>
      </c>
      <c r="H24" s="6" t="inlineStr">
        <is>
          <t>Packet parity/CRC, timeout, sequence numbers</t>
        </is>
      </c>
      <c r="I24" s="6" t="inlineStr">
        <is>
          <t>tile: tile_nic, tile_nic.sram, tile_nic.macro, link_packer, link_unpacker / flips</t>
        </is>
      </c>
      <c r="J24" s="6" t="n">
        <v>360</v>
      </c>
      <c r="K24" s="6" t="n">
        <v>7</v>
      </c>
      <c r="L24" s="6" t="n">
        <v>350</v>
      </c>
      <c r="M24" s="6" t="n">
        <v>3</v>
      </c>
      <c r="N24" s="16" t="n">
        <v>0.9968132602917333</v>
      </c>
      <c r="O24" s="14" t="n">
        <v>0.774102225728209</v>
      </c>
      <c r="P24" s="6" t="inlineStr">
        <is>
          <t>45.1 % .. 93.5 % (9)</t>
        </is>
      </c>
      <c r="Q24" s="16" t="n">
        <v>0.774102225728209</v>
      </c>
      <c r="R24" s="14">
        <f>D24*E24*F24*G24*(1-N24)*(1-Q24)</f>
        <v/>
      </c>
      <c r="S24" s="15" t="n">
        <v>0</v>
      </c>
      <c r="T24" s="6" t="inlineStr">
        <is>
          <t>n/a</t>
        </is>
      </c>
      <c r="U24" s="16" t="n">
        <v>0</v>
      </c>
      <c r="V24" s="14">
        <f>D24*E24*F24*S24*(1-U24)</f>
        <v/>
      </c>
      <c r="W24" s="6" t="inlineStr">
        <is>
          <t>crc16_beat_bw4 PASS (prove, 1.3 s); crc16_beat_bw16 PASS (prove, 22.5 s); link_pack_stream PASS (prove, 212.4 s); link_pack_parity PASS (prove, 13.1 s)</t>
        </is>
      </c>
      <c r="X24" s="14" t="n">
        <v>0.99</v>
      </c>
      <c r="Y24" s="14" t="n">
        <v>0.004000000000000004</v>
      </c>
      <c r="Z24" s="6" t="inlineStr">
        <is>
          <t>measured</t>
        </is>
      </c>
    </row>
    <row r="25">
      <c r="A25" s="6" t="inlineStr">
        <is>
          <t>Sequencer FSM, run counters, weight-buffer addressing</t>
        </is>
      </c>
      <c r="B25" s="6" t="inlineStr">
        <is>
          <t>Wrong run order, wrong tile, early drain (permanent part)</t>
        </is>
      </c>
      <c r="C25" s="6" t="inlineStr">
        <is>
          <t>permanent</t>
        </is>
      </c>
      <c r="D25" s="14">
        <f>Assumptions!$B$22*0.03</f>
        <v/>
      </c>
      <c r="E25" s="15" t="n">
        <v>1</v>
      </c>
      <c r="F25" s="16" t="n">
        <v>1</v>
      </c>
      <c r="G25" s="15" t="n">
        <v>1</v>
      </c>
      <c r="H25" s="6" t="inlineStr">
        <is>
          <t>Duplicated sequencer with comparator (lockstep), weight-buffer ECC</t>
        </is>
      </c>
      <c r="I25" s="6" t="inlineStr">
        <is>
          <t>core: core_seq, neo_core, wbuf_mem, wbuf_mem.macro / stuck-at</t>
        </is>
      </c>
      <c r="J25" s="6" t="n">
        <v>62</v>
      </c>
      <c r="K25" s="6" t="n">
        <v>45</v>
      </c>
      <c r="L25" s="6" t="n">
        <v>17</v>
      </c>
      <c r="M25" s="6" t="n">
        <v>0</v>
      </c>
      <c r="N25" s="16" t="n">
        <v>0.3847834002563955</v>
      </c>
      <c r="O25" s="14" t="n">
        <v>1</v>
      </c>
      <c r="P25" s="6" t="inlineStr">
        <is>
          <t>82.2 % .. 100.0 % (18)</t>
        </is>
      </c>
      <c r="Q25" s="16" t="n">
        <v>1</v>
      </c>
      <c r="R25" s="14">
        <f>D25*E25*F25*G25*(1-N25)*(1-Q25)</f>
        <v/>
      </c>
      <c r="S25" s="15" t="n">
        <v>0</v>
      </c>
      <c r="T25" s="6" t="inlineStr">
        <is>
          <t>n/a</t>
        </is>
      </c>
      <c r="U25" s="16" t="n">
        <v>0</v>
      </c>
      <c r="V25" s="14">
        <f>D25*E25*F25*S25*(1-U25)</f>
        <v/>
      </c>
      <c r="W25" s="6" t="inlineStr">
        <is>
          <t>lockstep_core_seq PASS (prove, 1.2 s); ecc39 PASS (prove, 0.4 s)</t>
        </is>
      </c>
      <c r="X25" s="14" t="n">
        <v>0.99</v>
      </c>
      <c r="Y25" s="14" t="n">
        <v>0.0001342857142857144</v>
      </c>
      <c r="Z25" s="6" t="inlineStr">
        <is>
          <t>measured</t>
        </is>
      </c>
    </row>
    <row r="26">
      <c r="A26" s="6" t="inlineStr">
        <is>
          <t>Sequencer FSM, run counters, weight-buffer addressing</t>
        </is>
      </c>
      <c r="B26" s="6" t="inlineStr">
        <is>
          <t>Wrong run order, wrong tile, early drain (transient part)</t>
        </is>
      </c>
      <c r="C26" s="6" t="inlineStr">
        <is>
          <t>transient</t>
        </is>
      </c>
      <c r="D26" s="14">
        <f>Assumptions!$B$26*0.05</f>
        <v/>
      </c>
      <c r="E26" s="15" t="n">
        <v>1</v>
      </c>
      <c r="F26" s="16" t="n">
        <v>1</v>
      </c>
      <c r="G26" s="15" t="n">
        <v>1</v>
      </c>
      <c r="H26" s="6" t="inlineStr">
        <is>
          <t>Duplicated sequencer with comparator (lockstep), weight-buffer ECC</t>
        </is>
      </c>
      <c r="I26" s="6" t="inlineStr">
        <is>
          <t>core: core_seq, neo_core, wbuf_mem, wbuf_mem.macro / flips</t>
        </is>
      </c>
      <c r="J26" s="6" t="n">
        <v>59</v>
      </c>
      <c r="K26" s="6" t="n">
        <v>29</v>
      </c>
      <c r="L26" s="6" t="n">
        <v>30</v>
      </c>
      <c r="M26" s="6" t="n">
        <v>0</v>
      </c>
      <c r="N26" s="16" t="n">
        <v>0.5653417115939556</v>
      </c>
      <c r="O26" s="14" t="n">
        <v>1</v>
      </c>
      <c r="P26" s="6" t="inlineStr">
        <is>
          <t>74.6 % .. 100.0 % (11)</t>
        </is>
      </c>
      <c r="Q26" s="16" t="n">
        <v>1</v>
      </c>
      <c r="R26" s="14">
        <f>D26*E26*F26*G26*(1-N26)*(1-Q26)</f>
        <v/>
      </c>
      <c r="S26" s="15" t="n">
        <v>0</v>
      </c>
      <c r="T26" s="6" t="inlineStr">
        <is>
          <t>n/a</t>
        </is>
      </c>
      <c r="U26" s="16" t="n">
        <v>0</v>
      </c>
      <c r="V26" s="14">
        <f>D26*E26*F26*S26*(1-U26)</f>
        <v/>
      </c>
      <c r="W26" s="6" t="inlineStr">
        <is>
          <t>lockstep_core_seq PASS (prove, 1.2 s); ecc39 PASS (prove, 0.4 s)</t>
        </is>
      </c>
      <c r="X26" s="14" t="n">
        <v>0.99</v>
      </c>
      <c r="Y26" s="14" t="n">
        <v>0.002000000000000002</v>
      </c>
      <c r="Z26" s="6" t="inlineStr">
        <is>
          <t>measured</t>
        </is>
      </c>
    </row>
    <row r="27">
      <c r="A27" s="6" t="inlineStr">
        <is>
          <t>Requantization tables and datapath</t>
        </is>
      </c>
      <c r="B27" s="6" t="inlineStr">
        <is>
          <t>Wrong scale, zero point or saturation (permanent part)</t>
        </is>
      </c>
      <c r="C27" s="6" t="inlineStr">
        <is>
          <t>permanent</t>
        </is>
      </c>
      <c r="D27" s="14">
        <f>Assumptions!$B$22*0.02</f>
        <v/>
      </c>
      <c r="E27" s="15" t="n">
        <v>1</v>
      </c>
      <c r="F27" s="16" t="n">
        <v>1</v>
      </c>
      <c r="G27" s="15" t="n">
        <v>1</v>
      </c>
      <c r="H27" s="6" t="inlineStr">
        <is>
          <t>Table parity and a duplicated requant stage with comparator</t>
        </is>
      </c>
      <c r="I27" s="6" t="inlineStr">
        <is>
          <t>core: requant / stuck-at</t>
        </is>
      </c>
      <c r="J27" s="6" t="n">
        <v>130</v>
      </c>
      <c r="K27" s="6" t="n">
        <v>55</v>
      </c>
      <c r="L27" s="6" t="n">
        <v>75</v>
      </c>
      <c r="M27" s="6" t="n">
        <v>0</v>
      </c>
      <c r="N27" s="16" t="n">
        <v>0.5769230769230769</v>
      </c>
      <c r="O27" s="14" t="n">
        <v>1</v>
      </c>
      <c r="P27" s="6" t="inlineStr">
        <is>
          <t>93.5 % .. 100.0 % (55)</t>
        </is>
      </c>
      <c r="Q27" s="16" t="n">
        <v>1</v>
      </c>
      <c r="R27" s="14">
        <f>D27*E27*F27*G27*(1-N27)*(1-Q27)</f>
        <v/>
      </c>
      <c r="S27" s="15" t="n">
        <v>0</v>
      </c>
      <c r="T27" s="6" t="inlineStr">
        <is>
          <t>n/a</t>
        </is>
      </c>
      <c r="U27" s="16" t="n">
        <v>0</v>
      </c>
      <c r="V27" s="14">
        <f>D27*E27*F27*S27*(1-U27)</f>
        <v/>
      </c>
      <c r="W27" s="6" t="inlineStr">
        <is>
          <t>lockstep_requant PASS (prove, 15.5 s); requant_parity PASS (prove, 1.5 s)</t>
        </is>
      </c>
      <c r="X27" s="14" t="n">
        <v>0.99</v>
      </c>
      <c r="Y27" s="14" t="n">
        <v>8.952380952380962e-05</v>
      </c>
      <c r="Z27" s="6" t="inlineStr">
        <is>
          <t>measured</t>
        </is>
      </c>
    </row>
    <row r="28">
      <c r="A28" s="6" t="inlineStr">
        <is>
          <t>Requantization tables and datapath</t>
        </is>
      </c>
      <c r="B28" s="6" t="inlineStr">
        <is>
          <t>Wrong scale, zero point or saturation (transient part)</t>
        </is>
      </c>
      <c r="C28" s="6" t="inlineStr">
        <is>
          <t>transient</t>
        </is>
      </c>
      <c r="D28" s="14">
        <f>Assumptions!$B$26*0.03</f>
        <v/>
      </c>
      <c r="E28" s="15" t="n">
        <v>1</v>
      </c>
      <c r="F28" s="16" t="n">
        <v>1</v>
      </c>
      <c r="G28" s="15" t="n">
        <v>1</v>
      </c>
      <c r="H28" s="6" t="inlineStr">
        <is>
          <t>Table parity and a duplicated requant stage with comparator</t>
        </is>
      </c>
      <c r="I28" s="6" t="inlineStr">
        <is>
          <t>core: requant / flips</t>
        </is>
      </c>
      <c r="J28" s="6" t="n">
        <v>113</v>
      </c>
      <c r="K28" s="6" t="n">
        <v>10</v>
      </c>
      <c r="L28" s="6" t="n">
        <v>103</v>
      </c>
      <c r="M28" s="6" t="n">
        <v>0</v>
      </c>
      <c r="N28" s="16" t="n">
        <v>0.911504424778761</v>
      </c>
      <c r="O28" s="14" t="n">
        <v>1</v>
      </c>
      <c r="P28" s="6" t="inlineStr">
        <is>
          <t>72.2 % .. 100.0 % (10)</t>
        </is>
      </c>
      <c r="Q28" s="16" t="n">
        <v>1</v>
      </c>
      <c r="R28" s="14">
        <f>D28*E28*F28*G28*(1-N28)*(1-Q28)</f>
        <v/>
      </c>
      <c r="S28" s="15" t="n">
        <v>0</v>
      </c>
      <c r="T28" s="6" t="inlineStr">
        <is>
          <t>n/a</t>
        </is>
      </c>
      <c r="U28" s="16" t="n">
        <v>0</v>
      </c>
      <c r="V28" s="14">
        <f>D28*E28*F28*S28*(1-U28)</f>
        <v/>
      </c>
      <c r="W28" s="6" t="inlineStr">
        <is>
          <t>lockstep_requant PASS (prove, 15.5 s); requant_parity PASS (prove, 1.5 s)</t>
        </is>
      </c>
      <c r="X28" s="14" t="n">
        <v>0.99</v>
      </c>
      <c r="Y28" s="14" t="n">
        <v>0.001200000000000001</v>
      </c>
      <c r="Z28" s="6" t="inlineStr">
        <is>
          <t>measured</t>
        </is>
      </c>
    </row>
    <row r="29">
      <c r="A29" s="6" t="inlineStr">
        <is>
          <t>Reduce port and partial-sum transfer (K-split)</t>
        </is>
      </c>
      <c r="B29" s="6" t="inlineStr">
        <is>
          <t>Corrupted or lost partial-sum row</t>
        </is>
      </c>
      <c r="C29" s="6" t="inlineStr">
        <is>
          <t>both</t>
        </is>
      </c>
      <c r="D29" s="14">
        <f>Assumptions!$B$22*0.01+Assumptions!$B$26*0.02</f>
        <v/>
      </c>
      <c r="E29" s="15" t="n">
        <v>1</v>
      </c>
      <c r="F29" s="16" t="n">
        <v>1</v>
      </c>
      <c r="G29" s="15" t="n">
        <v>1</v>
      </c>
      <c r="H29" s="6" t="inlineStr">
        <is>
          <t>Check column travels with the partial sums; drain-time ABFT at the owner; row count in the sequencer</t>
        </is>
      </c>
      <c r="I29" s="6" t="inlineStr">
        <is>
          <t>-</t>
        </is>
      </c>
      <c r="J29" s="6" t="n"/>
      <c r="K29" s="6" t="n"/>
      <c r="L29" s="6" t="n"/>
      <c r="M29" s="6" t="n"/>
      <c r="N29" s="16" t="n">
        <v>0</v>
      </c>
      <c r="O29" s="14" t="n"/>
      <c r="P29" s="6" t="inlineStr"/>
      <c r="Q29" s="16" t="n">
        <v>0.99</v>
      </c>
      <c r="R29" s="14">
        <f>D29*E29*F29*G29*(1-N29)*(1-Q29)</f>
        <v/>
      </c>
      <c r="S29" s="15" t="n">
        <v>0</v>
      </c>
      <c r="T29" s="6" t="inlineStr">
        <is>
          <t>n/a</t>
        </is>
      </c>
      <c r="U29" s="16" t="n">
        <v>0</v>
      </c>
      <c r="V29" s="14">
        <f>D29*E29*F29*S29*(1-U29)</f>
        <v/>
      </c>
      <c r="W29" s="6" t="inlineStr"/>
      <c r="X29" s="14" t="n">
        <v>0.99</v>
      </c>
      <c r="Y29" s="14" t="n">
        <v>0.0008447619047619056</v>
      </c>
      <c r="Z29" s="6" t="inlineStr">
        <is>
          <t>claim; the reduce port is idle in C1 and M1 (no K-split): an M2-class workload is the follow-up</t>
        </is>
      </c>
    </row>
    <row r="30">
      <c r="A30" s="6" t="inlineStr">
        <is>
          <t>Weight buffer SRAM (v2 addition)</t>
        </is>
      </c>
      <c r="B30" s="6" t="inlineStr">
        <is>
          <t>Single-bit upset</t>
        </is>
      </c>
      <c r="C30" s="6" t="inlineStr">
        <is>
          <t>transient</t>
        </is>
      </c>
      <c r="D30" s="14">
        <f>Assumptions!$B$33*0.97</f>
        <v/>
      </c>
      <c r="E30" s="15" t="n">
        <v>1</v>
      </c>
      <c r="F30" s="16" t="n">
        <v>1</v>
      </c>
      <c r="G30" s="15" t="n">
        <v>1</v>
      </c>
      <c r="H30" s="6" t="inlineStr">
        <is>
          <t>SECDED (39,32) per lane, corrected on the sequencer's read (wbuf_ce; wbuf_ue for two flips)</t>
        </is>
      </c>
      <c r="I30" s="6" t="inlineStr">
        <is>
          <t>core: wbuf_mem.sram / flips</t>
        </is>
      </c>
      <c r="J30" s="6" t="n">
        <v>198</v>
      </c>
      <c r="K30" s="6" t="n">
        <v>77</v>
      </c>
      <c r="L30" s="6" t="n">
        <v>121</v>
      </c>
      <c r="M30" s="6" t="n">
        <v>0</v>
      </c>
      <c r="N30" s="16" t="n">
        <v>0.6111111111111112</v>
      </c>
      <c r="O30" s="14" t="n">
        <v>1</v>
      </c>
      <c r="P30" s="6" t="inlineStr">
        <is>
          <t>95.2 % .. 100.0 % (77)</t>
        </is>
      </c>
      <c r="Q30" s="16" t="n">
        <v>1</v>
      </c>
      <c r="R30" s="14">
        <f>D30*E30*F30*G30*(1-N30)*(1-Q30)</f>
        <v/>
      </c>
      <c r="S30" s="15" t="n">
        <v>0</v>
      </c>
      <c r="T30" s="6" t="inlineStr">
        <is>
          <t>n/a</t>
        </is>
      </c>
      <c r="U30" s="16" t="n">
        <v>0</v>
      </c>
      <c r="V30" s="14">
        <f>D30*E30*F30*S30*(1-U30)</f>
        <v/>
      </c>
      <c r="W30" s="6" t="inlineStr">
        <is>
          <t>ecc39 PASS (prove, 0.4 s)</t>
        </is>
      </c>
      <c r="X30" s="14" t="n"/>
      <c r="Y30" s="14" t="n"/>
      <c r="Z30" s="6" t="inlineStr">
        <is>
          <t>measured</t>
        </is>
      </c>
    </row>
    <row r="31">
      <c r="A31" s="6" t="inlineStr">
        <is>
          <t>Weight buffer SRAM (v2 addition)</t>
        </is>
      </c>
      <c r="B31" s="6" t="inlineStr">
        <is>
          <t>Multi-bit upset in one lane</t>
        </is>
      </c>
      <c r="C31" s="6" t="inlineStr">
        <is>
          <t>transient</t>
        </is>
      </c>
      <c r="D31" s="14">
        <f>Assumptions!$B$33*0.03</f>
        <v/>
      </c>
      <c r="E31" s="15" t="n">
        <v>1</v>
      </c>
      <c r="F31" s="16" t="n">
        <v>1</v>
      </c>
      <c r="G31" s="15" t="n">
        <v>1</v>
      </c>
      <c r="H31" s="6" t="inlineStr">
        <is>
          <t>SECDED detects two flips (wbuf_ue); ABFT for a wrong weight</t>
        </is>
      </c>
      <c r="I31" s="6" t="inlineStr">
        <is>
          <t>-</t>
        </is>
      </c>
      <c r="J31" s="6" t="n"/>
      <c r="K31" s="6" t="n"/>
      <c r="L31" s="6" t="n"/>
      <c r="M31" s="6" t="n"/>
      <c r="N31" s="16" t="n">
        <v>0</v>
      </c>
      <c r="O31" s="14" t="n"/>
      <c r="P31" s="6" t="inlineStr"/>
      <c r="Q31" s="16" t="n">
        <v>0.999</v>
      </c>
      <c r="R31" s="14">
        <f>D31*E31*F31*G31*(1-N31)*(1-Q31)</f>
        <v/>
      </c>
      <c r="S31" s="15" t="n">
        <v>0</v>
      </c>
      <c r="T31" s="6" t="inlineStr">
        <is>
          <t>n/a</t>
        </is>
      </c>
      <c r="U31" s="16" t="n">
        <v>0</v>
      </c>
      <c r="V31" s="14">
        <f>D31*E31*F31*S31*(1-U31)</f>
        <v/>
      </c>
      <c r="W31" s="6" t="inlineStr">
        <is>
          <t>ecc39 PASS (prove, 0.4 s)</t>
        </is>
      </c>
      <c r="X31" s="14" t="n"/>
      <c r="Y31" s="14" t="n"/>
      <c r="Z31" s="6" t="inlineStr">
        <is>
          <t>claim; multi-bit upsets are not injected; v1's value for SECDED-detected multi-bit upsets (the accumulator's row) kept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8" t="inlineStr">
        <is>
          <t>Totals</t>
        </is>
      </c>
      <c r="B33" s="2" t="n"/>
      <c r="C33" s="2" t="n"/>
      <c r="D33" s="17">
        <f>SUM(D4:D31)</f>
        <v/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17">
        <f>SUM(R4:R31)</f>
        <v/>
      </c>
      <c r="S33" s="2" t="n"/>
      <c r="T33" s="2" t="n"/>
      <c r="U33" s="2" t="n"/>
      <c r="V33" s="17">
        <f>SUM(V4:V31)</f>
        <v/>
      </c>
      <c r="W33" s="2" t="n"/>
      <c r="X33" s="2" t="n"/>
      <c r="Y33" s="2" t="n"/>
      <c r="Z33" s="2" t="n"/>
    </row>
    <row r="34">
      <c r="A34" s="9" t="inlineStr">
        <is>
          <t>Safety-related λ_SR (Σ λ × SR × FMD)</t>
        </is>
      </c>
      <c r="B34" s="2" t="n"/>
      <c r="C34" s="2" t="n"/>
      <c r="D34" s="18">
        <f>SUMPRODUCT(D4:D31,E4:E31,F4:F31)</f>
        <v/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22" customWidth="1" min="4" max="4"/>
    <col width="20" customWidth="1" min="5" max="5"/>
    <col width="14" customWidth="1" min="6" max="6"/>
  </cols>
  <sheetData>
    <row r="1">
      <c r="A1" s="8" t="inlineStr">
        <is>
          <t>Hardware architectural metrics, one MAC core, v2 (formulas over FMEDA_core_v2) and the comparison with v1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42" customHeight="1">
      <c r="A3" s="3" t="inlineStr">
        <is>
          <t>Metric</t>
        </is>
      </c>
      <c r="B3" s="3" t="inlineStr">
        <is>
          <t>Value</t>
        </is>
      </c>
      <c r="C3" s="3" t="inlineStr">
        <is>
          <t>ASIL-B(D) target</t>
        </is>
      </c>
      <c r="D3" s="3" t="inlineStr">
        <is>
          <t>ASIL-D target</t>
        </is>
      </c>
      <c r="E3" s="3" t="inlineStr">
        <is>
          <t>Meets ASIL-B(D)?</t>
        </is>
      </c>
      <c r="F3" s="3" t="inlineStr">
        <is>
          <t>Meets ASIL-D?</t>
        </is>
      </c>
    </row>
    <row r="4">
      <c r="A4" s="2" t="inlineStr">
        <is>
          <t>Σ λ_SR (FIT)</t>
        </is>
      </c>
      <c r="B4" s="18">
        <f>FMEDA_core_v2!$D$34</f>
        <v/>
      </c>
      <c r="C4" s="2" t="n"/>
      <c r="D4" s="2" t="n"/>
      <c r="E4" s="2" t="n"/>
      <c r="F4" s="2" t="n"/>
    </row>
    <row r="5">
      <c r="A5" s="2" t="inlineStr">
        <is>
          <t>Σ λ_SPF/RF (FIT)</t>
        </is>
      </c>
      <c r="B5" s="18">
        <f>FMEDA_core_v2!$R$33</f>
        <v/>
      </c>
      <c r="C5" s="2" t="n"/>
      <c r="D5" s="2" t="n"/>
      <c r="E5" s="2" t="n"/>
      <c r="F5" s="2" t="n"/>
    </row>
    <row r="6">
      <c r="A6" s="2" t="inlineStr">
        <is>
          <t>Σ λ_MPF,L (FIT)</t>
        </is>
      </c>
      <c r="B6" s="18">
        <f>FMEDA_core_v2!$V$33</f>
        <v/>
      </c>
      <c r="C6" s="2" t="n"/>
      <c r="D6" s="2" t="n"/>
      <c r="E6" s="2" t="n"/>
      <c r="F6" s="2" t="n"/>
    </row>
    <row r="7">
      <c r="A7" s="2" t="inlineStr">
        <is>
          <t>SPFM</t>
        </is>
      </c>
      <c r="B7" s="19">
        <f>IF(B4&gt;0,1-B5/B4,0)</f>
        <v/>
      </c>
      <c r="C7" s="19">
        <f>Assumptions!B14</f>
        <v/>
      </c>
      <c r="D7" s="19">
        <f>Assumptions!B17</f>
        <v/>
      </c>
      <c r="E7" s="2">
        <f>IF(B7&gt;=C7,"PASS","FAIL")</f>
        <v/>
      </c>
      <c r="F7" s="2">
        <f>IF(B7&gt;=D7,"PASS","FAIL")</f>
        <v/>
      </c>
    </row>
    <row r="8">
      <c r="A8" s="2" t="inlineStr">
        <is>
          <t>LFM</t>
        </is>
      </c>
      <c r="B8" s="19">
        <f>IF(B4-B5&gt;0,1-B6/(B4-B5),0)</f>
        <v/>
      </c>
      <c r="C8" s="19">
        <f>Assumptions!B15</f>
        <v/>
      </c>
      <c r="D8" s="19">
        <f>Assumptions!B18</f>
        <v/>
      </c>
      <c r="E8" s="2">
        <f>IF(B8&gt;=C8,"PASS","FAIL")</f>
        <v/>
      </c>
      <c r="F8" s="2">
        <f>IF(B8&gt;=D8,"PASS","FAIL")</f>
        <v/>
      </c>
    </row>
    <row r="9">
      <c r="A9" s="2" t="inlineStr">
        <is>
          <t>PMHF, first order (FIT)</t>
        </is>
      </c>
      <c r="B9" s="18">
        <f>B5+B6*B4*Assumptions!B13*0.000000001</f>
        <v/>
      </c>
      <c r="C9" s="2">
        <f>Assumptions!B16</f>
        <v/>
      </c>
      <c r="D9" s="2">
        <f>Assumptions!B19</f>
        <v/>
      </c>
      <c r="E9" s="2">
        <f>IF(B9&lt;=C9,"PASS","FAIL")</f>
        <v/>
      </c>
      <c r="F9" s="2">
        <f>IF(B9&lt;=D9,"PASS","FAIL")</f>
        <v/>
      </c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8" t="inlineStr">
        <is>
          <t>Comparison (values computed by build_fmeda.py; the formulas above give the 'v2 measured' column)</t>
        </is>
      </c>
      <c r="B12" s="2" t="n"/>
      <c r="C12" s="2" t="n"/>
      <c r="D12" s="2" t="n"/>
      <c r="E12" s="2" t="n"/>
      <c r="F12" s="2" t="n"/>
    </row>
    <row r="13" ht="42" customHeight="1">
      <c r="A13" s="3" t="inlineStr">
        <is>
          <t>Metric</t>
        </is>
      </c>
      <c r="B13" s="3" t="inlineStr">
        <is>
          <t>v1 (claims)</t>
        </is>
      </c>
      <c r="C13" s="3" t="inlineStr">
        <is>
          <t>v2 measured</t>
        </is>
      </c>
      <c r="D13" s="3" t="inlineStr">
        <is>
          <t>v2, no credit for masked faults</t>
        </is>
      </c>
      <c r="E13" s="3" t="inlineStr">
        <is>
          <t>v2, 95 % upper bounds</t>
        </is>
      </c>
      <c r="F13" s="2" t="n"/>
    </row>
    <row r="14">
      <c r="A14" s="2" t="inlineStr">
        <is>
          <t>Core SPFM</t>
        </is>
      </c>
      <c r="B14" s="19" t="n">
        <v>0.9990394887371215</v>
      </c>
      <c r="C14" s="19" t="n">
        <v>0.959462971140983</v>
      </c>
      <c r="D14" s="19" t="n">
        <v>0.7939481830644013</v>
      </c>
      <c r="E14" s="19" t="n">
        <v>0.9391195259631274</v>
      </c>
      <c r="F14" s="2" t="n"/>
    </row>
    <row r="15">
      <c r="A15" s="2" t="inlineStr">
        <is>
          <t>Core LFM</t>
        </is>
      </c>
      <c r="B15" s="19" t="n">
        <v>0.9999990196595061</v>
      </c>
      <c r="C15" s="19" t="n">
        <v>0.9999993619955895</v>
      </c>
      <c r="D15" s="19" t="n">
        <v>0.9999992289904802</v>
      </c>
      <c r="E15" s="19" t="n">
        <v>0.9999993481749762</v>
      </c>
      <c r="F15" s="2" t="n"/>
    </row>
    <row r="16">
      <c r="A16" s="2" t="inlineStr">
        <is>
          <t>Core PMHF (FIT)</t>
        </is>
      </c>
      <c r="B16" s="13" t="n">
        <v>0.4390136433668358</v>
      </c>
      <c r="C16" s="13" t="n">
        <v>29.64211607316414</v>
      </c>
      <c r="D16" s="13" t="n">
        <v>150.672235434121</v>
      </c>
      <c r="E16" s="13" t="n">
        <v>44.51794455170307</v>
      </c>
      <c r="F16" s="2" t="n"/>
    </row>
    <row r="17">
      <c r="A17" s="2" t="inlineStr">
        <is>
          <t>Core Σ λ_SPF/RF (FIT)</t>
        </is>
      </c>
      <c r="B17" s="13" t="n">
        <v>0.438986761904759</v>
      </c>
      <c r="C17" s="13" t="n">
        <v>29.64207306404149</v>
      </c>
      <c r="D17" s="13" t="n">
        <v>150.6721924249984</v>
      </c>
      <c r="E17" s="13" t="n">
        <v>44.51790154258042</v>
      </c>
      <c r="F17" s="2" t="n"/>
    </row>
    <row r="18">
      <c r="A18" s="2" t="inlineStr">
        <is>
          <t>Chip SPFM</t>
        </is>
      </c>
      <c r="B18" s="19" t="n">
        <v>0.9999057580781036</v>
      </c>
      <c r="C18" s="19" t="n">
        <v>0.9970825647505377</v>
      </c>
      <c r="D18" s="19" t="n">
        <v>0.98537000043976</v>
      </c>
      <c r="E18" s="19" t="n">
        <v>0.9956269091147705</v>
      </c>
      <c r="F18" s="2" t="n"/>
    </row>
    <row r="19">
      <c r="A19" s="2" t="inlineStr">
        <is>
          <t>Chip LFM</t>
        </is>
      </c>
      <c r="B19" s="19" t="n">
        <v>0.9999992331477712</v>
      </c>
      <c r="C19" s="19" t="n">
        <v>0.9999992513826128</v>
      </c>
      <c r="D19" s="19" t="n">
        <v>0.9999992424841998</v>
      </c>
      <c r="E19" s="19" t="n">
        <v>0.9999992502880973</v>
      </c>
      <c r="F19" s="2" t="n"/>
    </row>
    <row r="20">
      <c r="A20" s="2" t="inlineStr">
        <is>
          <t>Chip PMHF (FIT)</t>
        </is>
      </c>
      <c r="B20" s="13" t="n">
        <v>62.28995133261643</v>
      </c>
      <c r="C20" s="13" t="n">
        <v>1931.040752751122</v>
      </c>
      <c r="D20" s="13" t="n">
        <v>9677.049861798838</v>
      </c>
      <c r="E20" s="13" t="n">
        <v>2893.726763697001</v>
      </c>
      <c r="F20" s="2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34" customWidth="1" min="1" max="1"/>
    <col width="7" customWidth="1" min="2" max="2"/>
    <col width="14" customWidth="1" min="3" max="3"/>
    <col width="9" customWidth="1" min="4" max="4"/>
    <col width="10" customWidth="1" min="5" max="5"/>
    <col width="14" customWidth="1" min="6" max="6"/>
    <col width="8" customWidth="1" min="7" max="7"/>
    <col width="12" customWidth="1" min="8" max="8"/>
    <col width="12" customWidth="1" min="9" max="9"/>
    <col width="12" customWidth="1" min="10" max="10"/>
    <col width="14" customWidth="1" min="11" max="11"/>
    <col width="60" customWidth="1" min="12" max="12"/>
  </cols>
  <sheetData>
    <row r="1" ht="60" customHeight="1">
      <c r="A1" s="1" t="inlineStr">
        <is>
          <t>Chip-level roll-up v2: the MAC core from FMEDA_core_v2, the shared SRAM's permanent faults and the NoC / DMA engines measured on the tile build (stuck-at faults: their λ is permanent), the shared SRAM's soft errors with v1's coverage (its residual is v1's multi-bit assumption; the single-bit faults are the evidence), the other elements as v1. λ_RF = λ_SR x (1 - F_safe) x (1 - DC_RF).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42" customHeight="1">
      <c r="A3" s="3" t="inlineStr">
        <is>
          <t>Element</t>
        </is>
      </c>
      <c r="B3" s="3" t="inlineStr">
        <is>
          <t>Count</t>
        </is>
      </c>
      <c r="C3" s="3" t="inlineStr">
        <is>
          <t>λ_SR per instance (FIT)</t>
        </is>
      </c>
      <c r="D3" s="3" t="inlineStr">
        <is>
          <t>F_safe</t>
        </is>
      </c>
      <c r="E3" s="3" t="inlineStr">
        <is>
          <t>DC_RF</t>
        </is>
      </c>
      <c r="F3" s="3" t="inlineStr">
        <is>
          <t>λ_SM per instance (FIT)</t>
        </is>
      </c>
      <c r="G3" s="3" t="inlineStr">
        <is>
          <t>DC_L</t>
        </is>
      </c>
      <c r="H3" s="3" t="inlineStr">
        <is>
          <t>λ_SR total</t>
        </is>
      </c>
      <c r="I3" s="3" t="inlineStr">
        <is>
          <t>λ_SPF/RF total</t>
        </is>
      </c>
      <c r="J3" s="3" t="inlineStr">
        <is>
          <t>λ_MPF,L total</t>
        </is>
      </c>
      <c r="K3" s="3" t="inlineStr">
        <is>
          <t>PMHF contribution (FIT)</t>
        </is>
      </c>
      <c r="L3" s="3" t="inlineStr">
        <is>
          <t>Mechanism / basis</t>
        </is>
      </c>
    </row>
    <row r="4">
      <c r="A4" s="20" t="inlineStr">
        <is>
          <t>MAC core (from FMEDA_core_v2)</t>
        </is>
      </c>
      <c r="B4" s="21" t="n">
        <v>64</v>
      </c>
      <c r="C4" s="22">
        <f>Metrics_v2!B4</f>
        <v/>
      </c>
      <c r="D4" s="23" t="n">
        <v>0</v>
      </c>
      <c r="E4" s="23">
        <f>1-Metrics_v2!B5/Metrics_v2!B4</f>
        <v/>
      </c>
      <c r="F4" s="22">
        <f>Metrics_v2!B6</f>
        <v/>
      </c>
      <c r="G4" s="23" t="n">
        <v>0</v>
      </c>
      <c r="H4" s="22">
        <f>B4*C4</f>
        <v/>
      </c>
      <c r="I4" s="22">
        <f>B4*C4*(1-D4)*(1-E4)</f>
        <v/>
      </c>
      <c r="J4" s="22">
        <f>B4*F4*(1-G4)</f>
        <v/>
      </c>
      <c r="K4" s="22">
        <f>I4+J4*C4*Assumptions!$B$13*0.000000001</f>
        <v/>
      </c>
      <c r="L4" s="24" t="inlineStr">
        <is>
          <t>core sheet: residual and latent from the core sheet</t>
        </is>
      </c>
    </row>
    <row r="5">
      <c r="A5" s="20" t="inlineStr">
        <is>
          <t>Shared SRAM 128 MB, soft errors</t>
        </is>
      </c>
      <c r="B5" s="21" t="n">
        <v>1</v>
      </c>
      <c r="C5" s="22" t="n">
        <v>614400</v>
      </c>
      <c r="D5" s="25" t="n">
        <v>0</v>
      </c>
      <c r="E5" s="25" t="n">
        <v>0.99995</v>
      </c>
      <c r="F5" s="26" t="n">
        <v>2</v>
      </c>
      <c r="G5" s="25" t="n">
        <v>0.99</v>
      </c>
      <c r="H5" s="22">
        <f>B5*C5</f>
        <v/>
      </c>
      <c r="I5" s="22">
        <f>B5*C5*(1-D5)*(1-E5)</f>
        <v/>
      </c>
      <c r="J5" s="22">
        <f>B5*F5*(1-G5)</f>
        <v/>
      </c>
      <c r="K5" s="22">
        <f>I5+J5*C5*Assumptions!$B$13*0.000000001</f>
        <v/>
      </c>
      <c r="L5" s="24" t="inlineStr">
        <is>
          <t>v1 (campaign: evidence): SECDED (39,32) per word: proven on the tile mesh (M5, drop 0.9); + 4-way interleaving + scrubbing + ABFT credit at the consumer; λ_SM = ECC/scrubber logic; DC_L = periodic ECC error injection | campaign (tile: sram_bank.sram / flips): 105 faults, 3 detected, 102 masked, 0 dangerous; DC 100.0 % (43.8 % .. 100.0 %) | ecc39 PASS (prove, 0.4 s)</t>
        </is>
      </c>
    </row>
    <row r="6">
      <c r="A6" s="20" t="inlineStr">
        <is>
          <t>Shared SRAM 128 MB, permanent</t>
        </is>
      </c>
      <c r="B6" s="21" t="n">
        <v>1</v>
      </c>
      <c r="C6" s="22" t="n">
        <v>61.90476190476191</v>
      </c>
      <c r="D6" s="25" t="n">
        <v>0.946259752947746</v>
      </c>
      <c r="E6" s="25" t="n">
        <v>0.9986092053715503</v>
      </c>
      <c r="F6" s="26" t="n">
        <v>2</v>
      </c>
      <c r="G6" s="25" t="n">
        <v>0.99</v>
      </c>
      <c r="H6" s="22">
        <f>B6*C6</f>
        <v/>
      </c>
      <c r="I6" s="22">
        <f>B6*C6*(1-D6)*(1-E6)</f>
        <v/>
      </c>
      <c r="J6" s="22">
        <f>B6*F6*(1-G6)</f>
        <v/>
      </c>
      <c r="K6" s="22">
        <f>I6+J6*C6*Assumptions!$B$13*0.000000001</f>
        <v/>
      </c>
      <c r="L6" s="24" t="inlineStr">
        <is>
          <t>measured: ECC, MBIST at boot, repair | campaign (tile: sram_bank.sram, sram_bank.macro, sram_bank, mbist / stuck-at): 111 faults, 14 detected, 95 masked, 2 dangerous; DC 99.9 % (21.8 % .. 100.0 %)</t>
        </is>
      </c>
    </row>
    <row r="7">
      <c r="A7" s="20" t="inlineStr">
        <is>
          <t>NoC and DMA engines</t>
        </is>
      </c>
      <c r="B7" s="21" t="n">
        <v>1</v>
      </c>
      <c r="C7" s="22" t="n">
        <v>19.04761904761905</v>
      </c>
      <c r="D7" s="25" t="n">
        <v>0.632668114186114</v>
      </c>
      <c r="E7" s="25" t="n">
        <v>1</v>
      </c>
      <c r="F7" s="26" t="n">
        <v>1</v>
      </c>
      <c r="G7" s="25" t="n">
        <v>0.9</v>
      </c>
      <c r="H7" s="22">
        <f>B7*C7</f>
        <v/>
      </c>
      <c r="I7" s="22">
        <f>B7*C7*(1-D7)*(1-E7)</f>
        <v/>
      </c>
      <c r="J7" s="22">
        <f>B7*F7*(1-G7)</f>
        <v/>
      </c>
      <c r="K7" s="22">
        <f>I7+J7*C7*Assumptions!$B$13*0.000000001</f>
        <v/>
      </c>
      <c r="L7" s="24" t="inlineStr">
        <is>
          <t>measured: Packet parity/CRC, timeouts, descriptor CRC; λ_SM = checkers | campaign (tile: noc_router, tile_dma, prog_mem, host_if, neo_tile, esm / stuck-at): 187 faults, 73 detected, 114 masked, 0 dangerous; DC 100.0 % (93.8 % .. 100.0 %) | noc_router PASS (prove, 46.9 s)</t>
        </is>
      </c>
    </row>
    <row r="8">
      <c r="A8" s="20" t="inlineStr">
        <is>
          <t>Safety island (lockstep R52+)</t>
        </is>
      </c>
      <c r="B8" s="21" t="n">
        <v>1</v>
      </c>
      <c r="C8" s="22" t="n">
        <v>4.761904761904762</v>
      </c>
      <c r="D8" s="25" t="n">
        <v>0</v>
      </c>
      <c r="E8" s="25" t="n">
        <v>0.999</v>
      </c>
      <c r="F8" s="26" t="n">
        <v>0.5</v>
      </c>
      <c r="G8" s="25" t="n">
        <v>0.95</v>
      </c>
      <c r="H8" s="22">
        <f>B8*C8</f>
        <v/>
      </c>
      <c r="I8" s="22">
        <f>B8*C8*(1-D8)*(1-E8)</f>
        <v/>
      </c>
      <c r="J8" s="22">
        <f>B8*F8*(1-G8)</f>
        <v/>
      </c>
      <c r="K8" s="22">
        <f>I8+J8*C8*Assumptions!$B$13*0.000000001</f>
        <v/>
      </c>
      <c r="L8" s="24" t="inlineStr">
        <is>
          <t>v1: Dual-core lockstep, ECC, watchdogs, self-test</t>
        </is>
      </c>
    </row>
    <row r="9">
      <c r="A9" s="20" t="inlineStr">
        <is>
          <t>LPDDR5X controller and PHY</t>
        </is>
      </c>
      <c r="B9" s="21" t="n">
        <v>1</v>
      </c>
      <c r="C9" s="22" t="n">
        <v>22.85714285714286</v>
      </c>
      <c r="D9" s="25" t="n">
        <v>0</v>
      </c>
      <c r="E9" s="25" t="n">
        <v>0.99</v>
      </c>
      <c r="F9" s="26" t="n">
        <v>1</v>
      </c>
      <c r="G9" s="25" t="n">
        <v>0.9</v>
      </c>
      <c r="H9" s="22">
        <f>B9*C9</f>
        <v/>
      </c>
      <c r="I9" s="22">
        <f>B9*C9*(1-D9)*(1-E9)</f>
        <v/>
      </c>
      <c r="J9" s="22">
        <f>B9*F9*(1-G9)</f>
        <v/>
      </c>
      <c r="K9" s="22">
        <f>I9+J9*C9*Assumptions!$B$13*0.000000001</f>
        <v/>
      </c>
      <c r="L9" s="24" t="inlineStr">
        <is>
          <t>v1: Inline ECC, link ECC, loopback test</t>
        </is>
      </c>
    </row>
    <row r="10">
      <c r="A10" s="20" t="inlineStr">
        <is>
          <t>PCIe, Ethernet, MIPI, ISP</t>
        </is>
      </c>
      <c r="B10" s="21" t="n">
        <v>1</v>
      </c>
      <c r="C10" s="22" t="n">
        <v>25.71428571428572</v>
      </c>
      <c r="D10" s="25" t="n">
        <v>0</v>
      </c>
      <c r="E10" s="25" t="n">
        <v>0.98</v>
      </c>
      <c r="F10" s="26" t="n">
        <v>1.5</v>
      </c>
      <c r="G10" s="25" t="n">
        <v>0.9</v>
      </c>
      <c r="H10" s="22">
        <f>B10*C10</f>
        <v/>
      </c>
      <c r="I10" s="22">
        <f>B10*C10*(1-D10)*(1-E10)</f>
        <v/>
      </c>
      <c r="J10" s="22">
        <f>B10*F10*(1-G10)</f>
        <v/>
      </c>
      <c r="K10" s="22">
        <f>I10+J10*C10*Assumptions!$B$13*0.000000001</f>
        <v/>
      </c>
      <c r="L10" s="24" t="inlineStr">
        <is>
          <t>v1: CRC, end-to-end protection, frame counters</t>
        </is>
      </c>
    </row>
    <row r="11">
      <c r="A11" s="20" t="inlineStr">
        <is>
          <t>Clocks, resets, power management</t>
        </is>
      </c>
      <c r="B11" s="21" t="n">
        <v>1</v>
      </c>
      <c r="C11" s="22" t="n">
        <v>8.571428571428571</v>
      </c>
      <c r="D11" s="25" t="n">
        <v>0</v>
      </c>
      <c r="E11" s="25" t="n">
        <v>0.9</v>
      </c>
      <c r="F11" s="26" t="n">
        <v>0.5</v>
      </c>
      <c r="G11" s="25" t="n">
        <v>0.9</v>
      </c>
      <c r="H11" s="22">
        <f>B11*C11</f>
        <v/>
      </c>
      <c r="I11" s="22">
        <f>B11*C11*(1-D11)*(1-E11)</f>
        <v/>
      </c>
      <c r="J11" s="22">
        <f>B11*F11*(1-G11)</f>
        <v/>
      </c>
      <c r="K11" s="22">
        <f>I11+J11*C11*Assumptions!$B$13*0.000000001</f>
        <v/>
      </c>
      <c r="L11" s="24" t="inlineStr">
        <is>
          <t>v1: Clock/voltage/temperature monitors</t>
        </is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8" t="inlineStr">
        <is>
          <t>Totals</t>
        </is>
      </c>
      <c r="B13" s="2" t="n"/>
      <c r="C13" s="2" t="n"/>
      <c r="D13" s="2" t="n"/>
      <c r="E13" s="2" t="n"/>
      <c r="F13" s="2" t="n"/>
      <c r="G13" s="2" t="n"/>
      <c r="H13" s="27">
        <f>SUM(H4:H11)</f>
        <v/>
      </c>
      <c r="I13" s="27">
        <f>SUM(I4:I11)</f>
        <v/>
      </c>
      <c r="J13" s="27">
        <f>SUM(J4:J11)</f>
        <v/>
      </c>
      <c r="K13" s="27">
        <f>SUM(K4:K11)</f>
        <v/>
      </c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inlineStr">
        <is>
          <t>Chip SPFM</t>
        </is>
      </c>
      <c r="B15" s="19">
        <f>IF(H13&gt;0,1-I13/H13,0)</f>
        <v/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inlineStr">
        <is>
          <t>Chip LFM</t>
        </is>
      </c>
      <c r="B16" s="19">
        <f>IF(H13-I13&gt;0,1-J13/(H13-I13),0)</f>
        <v/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Chip PMHF, first order (FIT)</t>
        </is>
      </c>
      <c r="B17" s="28">
        <f>K13</f>
        <v/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Meets ASIL-B(D)?</t>
        </is>
      </c>
      <c r="B18" s="2">
        <f>IF(AND(B15&gt;=Assumptions!B14,B16&gt;=Assumptions!B15,B17&lt;=Assumptions!B16),"PASS","FAIL")</f>
        <v/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9" customWidth="1" min="4" max="4"/>
    <col width="8" customWidth="1" min="5" max="5"/>
    <col width="9" customWidth="1" min="6" max="6"/>
    <col width="9" customWidth="1" min="7" max="7"/>
    <col width="7" customWidth="1" min="8" max="8"/>
    <col width="9" customWidth="1" min="9" max="9"/>
    <col width="18" customWidth="1" min="10" max="10"/>
    <col width="12" customWidth="1" min="11" max="11"/>
    <col width="12" customWidth="1" min="12" max="12"/>
  </cols>
  <sheetData>
    <row r="1">
      <c r="A1" s="8" t="inlineStr">
        <is>
          <t>The fault campaign per block (unweighted within a block: every fault of a block has the same weight)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42" customHeight="1">
      <c r="A3" s="3" t="inlineStr">
        <is>
          <t>Build</t>
        </is>
      </c>
      <c r="B3" s="3" t="inlineStr">
        <is>
          <t>Block</t>
        </is>
      </c>
      <c r="C3" s="3" t="inlineStr">
        <is>
          <t>Faults</t>
        </is>
      </c>
      <c r="D3" s="3" t="inlineStr">
        <is>
          <t>Detected</t>
        </is>
      </c>
      <c r="E3" s="3" t="inlineStr">
        <is>
          <t>Masked</t>
        </is>
      </c>
      <c r="F3" s="3" t="inlineStr">
        <is>
          <t>Dangerous</t>
        </is>
      </c>
      <c r="G3" s="3" t="inlineStr">
        <is>
          <t>Hang detected</t>
        </is>
      </c>
      <c r="H3" s="3" t="inlineStr">
        <is>
          <t>Hang</t>
        </is>
      </c>
      <c r="I3" s="3" t="inlineStr">
        <is>
          <t>DC</t>
        </is>
      </c>
      <c r="J3" s="3" t="inlineStr">
        <is>
          <t>DC 95 % CI</t>
        </is>
      </c>
      <c r="K3" s="3" t="inlineStr">
        <is>
          <t>Latency median (cycles)</t>
        </is>
      </c>
      <c r="L3" s="3" t="inlineStr">
        <is>
          <t>Latency max (cycles)</t>
        </is>
      </c>
    </row>
    <row r="4">
      <c r="A4" s="2" t="inlineStr">
        <is>
          <t>core</t>
        </is>
      </c>
      <c r="B4" s="2" t="inlineStr">
        <is>
          <t>acc_bank</t>
        </is>
      </c>
      <c r="C4" s="2" t="n">
        <v>60</v>
      </c>
      <c r="D4" s="2" t="n">
        <v>20</v>
      </c>
      <c r="E4" s="2" t="n">
        <v>40</v>
      </c>
      <c r="F4" s="2" t="n">
        <v>0</v>
      </c>
      <c r="G4" s="2" t="n">
        <v>0</v>
      </c>
      <c r="H4" s="2" t="n">
        <v>0</v>
      </c>
      <c r="I4" s="29" t="n">
        <v>1</v>
      </c>
      <c r="J4" s="2" t="inlineStr">
        <is>
          <t>83.9 % .. 100.0 %</t>
        </is>
      </c>
      <c r="K4" s="2" t="n">
        <v>1006</v>
      </c>
      <c r="L4" s="2" t="n">
        <v>1462</v>
      </c>
    </row>
    <row r="5">
      <c r="A5" s="2" t="inlineStr">
        <is>
          <t>core</t>
        </is>
      </c>
      <c r="B5" s="2" t="inlineStr">
        <is>
          <t>acc_bank.abft_checker</t>
        </is>
      </c>
      <c r="C5" s="2" t="n">
        <v>36</v>
      </c>
      <c r="D5" s="2" t="n">
        <v>13</v>
      </c>
      <c r="E5" s="2" t="n">
        <v>23</v>
      </c>
      <c r="F5" s="2" t="n">
        <v>0</v>
      </c>
      <c r="G5" s="2" t="n">
        <v>0</v>
      </c>
      <c r="H5" s="2" t="n">
        <v>0</v>
      </c>
      <c r="I5" s="29" t="n">
        <v>1</v>
      </c>
      <c r="J5" s="2" t="inlineStr">
        <is>
          <t>77.2 % .. 100.0 %</t>
        </is>
      </c>
      <c r="K5" s="2" t="n">
        <v>752</v>
      </c>
      <c r="L5" s="2" t="n">
        <v>1641</v>
      </c>
    </row>
    <row r="6">
      <c r="A6" s="2" t="inlineStr">
        <is>
          <t>core</t>
        </is>
      </c>
      <c r="B6" s="2" t="inlineStr">
        <is>
          <t>acc_bank.macro</t>
        </is>
      </c>
      <c r="C6" s="2" t="n">
        <v>23</v>
      </c>
      <c r="D6" s="2" t="n">
        <v>18</v>
      </c>
      <c r="E6" s="2" t="n">
        <v>5</v>
      </c>
      <c r="F6" s="2" t="n">
        <v>0</v>
      </c>
      <c r="G6" s="2" t="n">
        <v>0</v>
      </c>
      <c r="H6" s="2" t="n">
        <v>0</v>
      </c>
      <c r="I6" s="29" t="n">
        <v>1</v>
      </c>
      <c r="J6" s="2" t="inlineStr">
        <is>
          <t>82.4 % .. 100.0 %</t>
        </is>
      </c>
      <c r="K6" s="2" t="n">
        <v>3</v>
      </c>
      <c r="L6" s="2" t="n">
        <v>52</v>
      </c>
    </row>
    <row r="7">
      <c r="A7" s="2" t="inlineStr">
        <is>
          <t>core</t>
        </is>
      </c>
      <c r="B7" s="2" t="inlineStr">
        <is>
          <t>acc_bank.sram</t>
        </is>
      </c>
      <c r="C7" s="2" t="n">
        <v>241</v>
      </c>
      <c r="D7" s="2" t="n">
        <v>139</v>
      </c>
      <c r="E7" s="2" t="n">
        <v>102</v>
      </c>
      <c r="F7" s="2" t="n">
        <v>0</v>
      </c>
      <c r="G7" s="2" t="n">
        <v>0</v>
      </c>
      <c r="H7" s="2" t="n">
        <v>0</v>
      </c>
      <c r="I7" s="29" t="n">
        <v>1</v>
      </c>
      <c r="J7" s="2" t="inlineStr">
        <is>
          <t>97.3 % .. 100.0 %</t>
        </is>
      </c>
      <c r="K7" s="2" t="n">
        <v>795</v>
      </c>
      <c r="L7" s="2" t="n">
        <v>1613</v>
      </c>
    </row>
    <row r="8">
      <c r="A8" s="2" t="inlineStr">
        <is>
          <t>core</t>
        </is>
      </c>
      <c r="B8" s="2" t="inlineStr">
        <is>
          <t>act_feeder</t>
        </is>
      </c>
      <c r="C8" s="2" t="n">
        <v>50</v>
      </c>
      <c r="D8" s="2" t="n">
        <v>22</v>
      </c>
      <c r="E8" s="2" t="n">
        <v>26</v>
      </c>
      <c r="F8" s="2" t="n">
        <v>0</v>
      </c>
      <c r="G8" s="2" t="n">
        <v>2</v>
      </c>
      <c r="H8" s="2" t="n">
        <v>0</v>
      </c>
      <c r="I8" s="29" t="n">
        <v>1</v>
      </c>
      <c r="J8" s="2" t="inlineStr">
        <is>
          <t>86.2 % .. 100.0 %</t>
        </is>
      </c>
      <c r="K8" s="2" t="n">
        <v>7</v>
      </c>
      <c r="L8" s="2" t="n">
        <v>578</v>
      </c>
    </row>
    <row r="9">
      <c r="A9" s="2" t="inlineStr">
        <is>
          <t>core</t>
        </is>
      </c>
      <c r="B9" s="2" t="inlineStr">
        <is>
          <t>act_feeder.macro</t>
        </is>
      </c>
      <c r="C9" s="2" t="n">
        <v>25</v>
      </c>
      <c r="D9" s="2" t="n">
        <v>17</v>
      </c>
      <c r="E9" s="2" t="n">
        <v>8</v>
      </c>
      <c r="F9" s="2" t="n">
        <v>0</v>
      </c>
      <c r="G9" s="2" t="n">
        <v>0</v>
      </c>
      <c r="H9" s="2" t="n">
        <v>0</v>
      </c>
      <c r="I9" s="29" t="n">
        <v>1</v>
      </c>
      <c r="J9" s="2" t="inlineStr">
        <is>
          <t>81.6 % .. 100.0 %</t>
        </is>
      </c>
      <c r="K9" s="2" t="n">
        <v>3</v>
      </c>
      <c r="L9" s="2" t="n">
        <v>35</v>
      </c>
    </row>
    <row r="10">
      <c r="A10" s="2" t="inlineStr">
        <is>
          <t>core</t>
        </is>
      </c>
      <c r="B10" s="2" t="inlineStr">
        <is>
          <t>act_feeder.sram</t>
        </is>
      </c>
      <c r="C10" s="2" t="n">
        <v>243</v>
      </c>
      <c r="D10" s="2" t="n">
        <v>0</v>
      </c>
      <c r="E10" s="2" t="n">
        <v>199</v>
      </c>
      <c r="F10" s="2" t="n">
        <v>44</v>
      </c>
      <c r="G10" s="2" t="n">
        <v>0</v>
      </c>
      <c r="H10" s="2" t="n">
        <v>0</v>
      </c>
      <c r="I10" s="29" t="n">
        <v>0</v>
      </c>
      <c r="J10" s="2" t="inlineStr">
        <is>
          <t>0.0 % .. 8.0 %</t>
        </is>
      </c>
      <c r="K10" s="2" t="n"/>
      <c r="L10" s="2" t="n"/>
    </row>
    <row r="11">
      <c r="A11" s="2" t="inlineStr">
        <is>
          <t>core</t>
        </is>
      </c>
      <c r="B11" s="2" t="inlineStr">
        <is>
          <t>core_seq</t>
        </is>
      </c>
      <c r="C11" s="2" t="n">
        <v>48</v>
      </c>
      <c r="D11" s="2" t="n">
        <v>19</v>
      </c>
      <c r="E11" s="2" t="n">
        <v>23</v>
      </c>
      <c r="F11" s="2" t="n">
        <v>0</v>
      </c>
      <c r="G11" s="2" t="n">
        <v>6</v>
      </c>
      <c r="H11" s="2" t="n">
        <v>0</v>
      </c>
      <c r="I11" s="29" t="n">
        <v>1</v>
      </c>
      <c r="J11" s="2" t="inlineStr">
        <is>
          <t>86.7 % .. 100.0 %</t>
        </is>
      </c>
      <c r="K11" s="2" t="n">
        <v>2</v>
      </c>
      <c r="L11" s="2" t="n">
        <v>745</v>
      </c>
    </row>
    <row r="12">
      <c r="A12" s="2" t="inlineStr">
        <is>
          <t>core</t>
        </is>
      </c>
      <c r="B12" s="2" t="inlineStr">
        <is>
          <t>neo_core</t>
        </is>
      </c>
      <c r="C12" s="2" t="n">
        <v>25</v>
      </c>
      <c r="D12" s="2" t="n">
        <v>15</v>
      </c>
      <c r="E12" s="2" t="n">
        <v>10</v>
      </c>
      <c r="F12" s="2" t="n">
        <v>0</v>
      </c>
      <c r="G12" s="2" t="n">
        <v>0</v>
      </c>
      <c r="H12" s="2" t="n">
        <v>0</v>
      </c>
      <c r="I12" s="29" t="n">
        <v>1</v>
      </c>
      <c r="J12" s="2" t="inlineStr">
        <is>
          <t>79.6 % .. 100.0 %</t>
        </is>
      </c>
      <c r="K12" s="2" t="n">
        <v>7</v>
      </c>
      <c r="L12" s="2" t="n">
        <v>139</v>
      </c>
    </row>
    <row r="13">
      <c r="A13" s="2" t="inlineStr">
        <is>
          <t>core</t>
        </is>
      </c>
      <c r="B13" s="2" t="inlineStr">
        <is>
          <t>neo_mac_core</t>
        </is>
      </c>
      <c r="C13" s="2" t="n">
        <v>2271</v>
      </c>
      <c r="D13" s="2" t="n">
        <v>1039</v>
      </c>
      <c r="E13" s="2" t="n">
        <v>1153</v>
      </c>
      <c r="F13" s="2" t="n">
        <v>79</v>
      </c>
      <c r="G13" s="2" t="n">
        <v>0</v>
      </c>
      <c r="H13" s="2" t="n">
        <v>0</v>
      </c>
      <c r="I13" s="29" t="n">
        <v>0.9293381037567084</v>
      </c>
      <c r="J13" s="2" t="inlineStr">
        <is>
          <t>91.3 % .. 94.3 %</t>
        </is>
      </c>
      <c r="K13" s="2" t="n">
        <v>27</v>
      </c>
      <c r="L13" s="2" t="n">
        <v>336</v>
      </c>
    </row>
    <row r="14">
      <c r="A14" s="2" t="inlineStr">
        <is>
          <t>core</t>
        </is>
      </c>
      <c r="B14" s="2" t="inlineStr">
        <is>
          <t>neo_mac_core.abft_checker</t>
        </is>
      </c>
      <c r="C14" s="2" t="n">
        <v>34</v>
      </c>
      <c r="D14" s="2" t="n">
        <v>22</v>
      </c>
      <c r="E14" s="2" t="n">
        <v>12</v>
      </c>
      <c r="F14" s="2" t="n">
        <v>0</v>
      </c>
      <c r="G14" s="2" t="n">
        <v>0</v>
      </c>
      <c r="H14" s="2" t="n">
        <v>0</v>
      </c>
      <c r="I14" s="29" t="n">
        <v>1</v>
      </c>
      <c r="J14" s="2" t="inlineStr">
        <is>
          <t>85.1 % .. 100.0 %</t>
        </is>
      </c>
      <c r="K14" s="2" t="n">
        <v>3</v>
      </c>
      <c r="L14" s="2" t="n">
        <v>36</v>
      </c>
    </row>
    <row r="15">
      <c r="A15" s="2" t="inlineStr">
        <is>
          <t>core</t>
        </is>
      </c>
      <c r="B15" s="2" t="inlineStr">
        <is>
          <t>neo_mac_core_v02</t>
        </is>
      </c>
      <c r="C15" s="2" t="n">
        <v>42</v>
      </c>
      <c r="D15" s="2" t="n">
        <v>0</v>
      </c>
      <c r="E15" s="2" t="n">
        <v>11</v>
      </c>
      <c r="F15" s="2" t="n">
        <v>31</v>
      </c>
      <c r="G15" s="2" t="n">
        <v>0</v>
      </c>
      <c r="H15" s="2" t="n">
        <v>0</v>
      </c>
      <c r="I15" s="29" t="n">
        <v>0</v>
      </c>
      <c r="J15" s="2" t="inlineStr">
        <is>
          <t>0.0 % .. 11.0 %</t>
        </is>
      </c>
      <c r="K15" s="2" t="n"/>
      <c r="L15" s="2" t="n"/>
    </row>
    <row r="16">
      <c r="A16" s="2" t="inlineStr">
        <is>
          <t>core</t>
        </is>
      </c>
      <c r="B16" s="2" t="inlineStr">
        <is>
          <t>requant</t>
        </is>
      </c>
      <c r="C16" s="2" t="n">
        <v>243</v>
      </c>
      <c r="D16" s="2" t="n">
        <v>65</v>
      </c>
      <c r="E16" s="2" t="n">
        <v>178</v>
      </c>
      <c r="F16" s="2" t="n">
        <v>0</v>
      </c>
      <c r="G16" s="2" t="n">
        <v>0</v>
      </c>
      <c r="H16" s="2" t="n">
        <v>0</v>
      </c>
      <c r="I16" s="29" t="n">
        <v>1</v>
      </c>
      <c r="J16" s="2" t="inlineStr">
        <is>
          <t>94.4 % .. 100.0 %</t>
        </is>
      </c>
      <c r="K16" s="2" t="n">
        <v>648</v>
      </c>
      <c r="L16" s="2" t="n">
        <v>1616</v>
      </c>
    </row>
    <row r="17">
      <c r="A17" s="2" t="inlineStr">
        <is>
          <t>core</t>
        </is>
      </c>
      <c r="B17" s="2" t="inlineStr">
        <is>
          <t>wbuf_mem</t>
        </is>
      </c>
      <c r="C17" s="2" t="n">
        <v>23</v>
      </c>
      <c r="D17" s="2" t="n">
        <v>16</v>
      </c>
      <c r="E17" s="2" t="n">
        <v>7</v>
      </c>
      <c r="F17" s="2" t="n">
        <v>0</v>
      </c>
      <c r="G17" s="2" t="n">
        <v>0</v>
      </c>
      <c r="H17" s="2" t="n">
        <v>0</v>
      </c>
      <c r="I17" s="29" t="n">
        <v>1</v>
      </c>
      <c r="J17" s="2" t="inlineStr">
        <is>
          <t>80.6 % .. 100.0 %</t>
        </is>
      </c>
      <c r="K17" s="2" t="n">
        <v>1</v>
      </c>
      <c r="L17" s="2" t="n">
        <v>42</v>
      </c>
    </row>
    <row r="18">
      <c r="A18" s="2" t="inlineStr">
        <is>
          <t>core</t>
        </is>
      </c>
      <c r="B18" s="2" t="inlineStr">
        <is>
          <t>wbuf_mem.macro</t>
        </is>
      </c>
      <c r="C18" s="2" t="n">
        <v>25</v>
      </c>
      <c r="D18" s="2" t="n">
        <v>18</v>
      </c>
      <c r="E18" s="2" t="n">
        <v>7</v>
      </c>
      <c r="F18" s="2" t="n">
        <v>0</v>
      </c>
      <c r="G18" s="2" t="n">
        <v>0</v>
      </c>
      <c r="H18" s="2" t="n">
        <v>0</v>
      </c>
      <c r="I18" s="29" t="n">
        <v>1</v>
      </c>
      <c r="J18" s="2" t="inlineStr">
        <is>
          <t>82.4 % .. 100.0 %</t>
        </is>
      </c>
      <c r="K18" s="2" t="n">
        <v>9</v>
      </c>
      <c r="L18" s="2" t="n">
        <v>518</v>
      </c>
    </row>
    <row r="19">
      <c r="A19" s="2" t="inlineStr">
        <is>
          <t>core</t>
        </is>
      </c>
      <c r="B19" s="2" t="inlineStr">
        <is>
          <t>wbuf_mem.sram</t>
        </is>
      </c>
      <c r="C19" s="2" t="n">
        <v>248</v>
      </c>
      <c r="D19" s="2" t="n">
        <v>90</v>
      </c>
      <c r="E19" s="2" t="n">
        <v>158</v>
      </c>
      <c r="F19" s="2" t="n">
        <v>0</v>
      </c>
      <c r="G19" s="2" t="n">
        <v>0</v>
      </c>
      <c r="H19" s="2" t="n">
        <v>0</v>
      </c>
      <c r="I19" s="29" t="n">
        <v>1</v>
      </c>
      <c r="J19" s="2" t="inlineStr">
        <is>
          <t>95.9 % .. 100.0 %</t>
        </is>
      </c>
      <c r="K19" s="2" t="n">
        <v>411</v>
      </c>
      <c r="L19" s="2" t="n">
        <v>1369</v>
      </c>
    </row>
    <row r="20">
      <c r="A20" s="2" t="inlineStr">
        <is>
          <t>tile</t>
        </is>
      </c>
      <c r="B20" s="2" t="inlineStr">
        <is>
          <t>acc_bank</t>
        </is>
      </c>
      <c r="C20" s="2" t="n">
        <v>39</v>
      </c>
      <c r="D20" s="2" t="n">
        <v>15</v>
      </c>
      <c r="E20" s="2" t="n">
        <v>24</v>
      </c>
      <c r="F20" s="2" t="n">
        <v>0</v>
      </c>
      <c r="G20" s="2" t="n">
        <v>0</v>
      </c>
      <c r="H20" s="2" t="n">
        <v>0</v>
      </c>
      <c r="I20" s="29" t="n">
        <v>1</v>
      </c>
      <c r="J20" s="2" t="inlineStr">
        <is>
          <t>79.6 % .. 100.0 %</t>
        </is>
      </c>
      <c r="K20" s="2" t="n">
        <v>1460</v>
      </c>
      <c r="L20" s="2" t="n">
        <v>3439</v>
      </c>
    </row>
    <row r="21">
      <c r="A21" s="2" t="inlineStr">
        <is>
          <t>tile</t>
        </is>
      </c>
      <c r="B21" s="2" t="inlineStr">
        <is>
          <t>acc_bank.abft_checker</t>
        </is>
      </c>
      <c r="C21" s="2" t="n">
        <v>27</v>
      </c>
      <c r="D21" s="2" t="n">
        <v>11</v>
      </c>
      <c r="E21" s="2" t="n">
        <v>16</v>
      </c>
      <c r="F21" s="2" t="n">
        <v>0</v>
      </c>
      <c r="G21" s="2" t="n">
        <v>0</v>
      </c>
      <c r="H21" s="2" t="n">
        <v>0</v>
      </c>
      <c r="I21" s="29" t="n">
        <v>1</v>
      </c>
      <c r="J21" s="2" t="inlineStr">
        <is>
          <t>74.1 % .. 100.0 %</t>
        </is>
      </c>
      <c r="K21" s="2" t="n">
        <v>749</v>
      </c>
      <c r="L21" s="2" t="n">
        <v>3293</v>
      </c>
    </row>
    <row r="22">
      <c r="A22" s="2" t="inlineStr">
        <is>
          <t>tile</t>
        </is>
      </c>
      <c r="B22" s="2" t="inlineStr">
        <is>
          <t>acc_bank.macro</t>
        </is>
      </c>
      <c r="C22" s="2" t="n">
        <v>24</v>
      </c>
      <c r="D22" s="2" t="n">
        <v>15</v>
      </c>
      <c r="E22" s="2" t="n">
        <v>9</v>
      </c>
      <c r="F22" s="2" t="n">
        <v>0</v>
      </c>
      <c r="G22" s="2" t="n">
        <v>0</v>
      </c>
      <c r="H22" s="2" t="n">
        <v>0</v>
      </c>
      <c r="I22" s="29" t="n">
        <v>1</v>
      </c>
      <c r="J22" s="2" t="inlineStr">
        <is>
          <t>79.6 % .. 100.0 %</t>
        </is>
      </c>
      <c r="K22" s="2" t="n">
        <v>17</v>
      </c>
      <c r="L22" s="2" t="n">
        <v>1322</v>
      </c>
    </row>
    <row r="23">
      <c r="A23" s="2" t="inlineStr">
        <is>
          <t>tile</t>
        </is>
      </c>
      <c r="B23" s="2" t="inlineStr">
        <is>
          <t>acc_bank.sram</t>
        </is>
      </c>
      <c r="C23" s="2" t="n">
        <v>119</v>
      </c>
      <c r="D23" s="2" t="n">
        <v>31</v>
      </c>
      <c r="E23" s="2" t="n">
        <v>88</v>
      </c>
      <c r="F23" s="2" t="n">
        <v>0</v>
      </c>
      <c r="G23" s="2" t="n">
        <v>0</v>
      </c>
      <c r="H23" s="2" t="n">
        <v>0</v>
      </c>
      <c r="I23" s="29" t="n">
        <v>1</v>
      </c>
      <c r="J23" s="2" t="inlineStr">
        <is>
          <t>89.0 % .. 100.0 %</t>
        </is>
      </c>
      <c r="K23" s="2" t="n">
        <v>1033</v>
      </c>
      <c r="L23" s="2" t="n">
        <v>3090</v>
      </c>
    </row>
    <row r="24">
      <c r="A24" s="2" t="inlineStr">
        <is>
          <t>tile</t>
        </is>
      </c>
      <c r="B24" s="2" t="inlineStr">
        <is>
          <t>act_feeder</t>
        </is>
      </c>
      <c r="C24" s="2" t="n">
        <v>35</v>
      </c>
      <c r="D24" s="2" t="n">
        <v>12</v>
      </c>
      <c r="E24" s="2" t="n">
        <v>20</v>
      </c>
      <c r="F24" s="2" t="n">
        <v>0</v>
      </c>
      <c r="G24" s="2" t="n">
        <v>3</v>
      </c>
      <c r="H24" s="2" t="n">
        <v>0</v>
      </c>
      <c r="I24" s="29" t="n">
        <v>1</v>
      </c>
      <c r="J24" s="2" t="inlineStr">
        <is>
          <t>79.6 % .. 100.0 %</t>
        </is>
      </c>
      <c r="K24" s="2" t="n">
        <v>12</v>
      </c>
      <c r="L24" s="2" t="n">
        <v>1203</v>
      </c>
    </row>
    <row r="25">
      <c r="A25" s="2" t="inlineStr">
        <is>
          <t>tile</t>
        </is>
      </c>
      <c r="B25" s="2" t="inlineStr">
        <is>
          <t>act_feeder.macro</t>
        </is>
      </c>
      <c r="C25" s="2" t="n">
        <v>19</v>
      </c>
      <c r="D25" s="2" t="n">
        <v>9</v>
      </c>
      <c r="E25" s="2" t="n">
        <v>10</v>
      </c>
      <c r="F25" s="2" t="n">
        <v>0</v>
      </c>
      <c r="G25" s="2" t="n">
        <v>0</v>
      </c>
      <c r="H25" s="2" t="n">
        <v>0</v>
      </c>
      <c r="I25" s="29" t="n">
        <v>1</v>
      </c>
      <c r="J25" s="2" t="inlineStr">
        <is>
          <t>70.1 % .. 100.0 %</t>
        </is>
      </c>
      <c r="K25" s="2" t="n">
        <v>31</v>
      </c>
      <c r="L25" s="2" t="n">
        <v>1459</v>
      </c>
    </row>
    <row r="26">
      <c r="A26" s="2" t="inlineStr">
        <is>
          <t>tile</t>
        </is>
      </c>
      <c r="B26" s="2" t="inlineStr">
        <is>
          <t>act_feeder.sram</t>
        </is>
      </c>
      <c r="C26" s="2" t="n">
        <v>109</v>
      </c>
      <c r="D26" s="2" t="n">
        <v>0</v>
      </c>
      <c r="E26" s="2" t="n">
        <v>90</v>
      </c>
      <c r="F26" s="2" t="n">
        <v>19</v>
      </c>
      <c r="G26" s="2" t="n">
        <v>0</v>
      </c>
      <c r="H26" s="2" t="n">
        <v>0</v>
      </c>
      <c r="I26" s="29" t="n">
        <v>0</v>
      </c>
      <c r="J26" s="2" t="inlineStr">
        <is>
          <t>0.0 % .. 16.8 %</t>
        </is>
      </c>
      <c r="K26" s="2" t="n"/>
      <c r="L26" s="2" t="n"/>
    </row>
    <row r="27">
      <c r="A27" s="2" t="inlineStr">
        <is>
          <t>tile</t>
        </is>
      </c>
      <c r="B27" s="2" t="inlineStr">
        <is>
          <t>core_seq</t>
        </is>
      </c>
      <c r="C27" s="2" t="n">
        <v>37</v>
      </c>
      <c r="D27" s="2" t="n">
        <v>15</v>
      </c>
      <c r="E27" s="2" t="n">
        <v>17</v>
      </c>
      <c r="F27" s="2" t="n">
        <v>0</v>
      </c>
      <c r="G27" s="2" t="n">
        <v>5</v>
      </c>
      <c r="H27" s="2" t="n">
        <v>0</v>
      </c>
      <c r="I27" s="29" t="n">
        <v>1</v>
      </c>
      <c r="J27" s="2" t="inlineStr">
        <is>
          <t>83.9 % .. 100.0 %</t>
        </is>
      </c>
      <c r="K27" s="2" t="n">
        <v>3</v>
      </c>
      <c r="L27" s="2" t="n">
        <v>2690</v>
      </c>
    </row>
    <row r="28">
      <c r="A28" s="2" t="inlineStr">
        <is>
          <t>tile</t>
        </is>
      </c>
      <c r="B28" s="2" t="inlineStr">
        <is>
          <t>esm</t>
        </is>
      </c>
      <c r="C28" s="2" t="n">
        <v>31</v>
      </c>
      <c r="D28" s="2" t="n">
        <v>13</v>
      </c>
      <c r="E28" s="2" t="n">
        <v>18</v>
      </c>
      <c r="F28" s="2" t="n">
        <v>0</v>
      </c>
      <c r="G28" s="2" t="n">
        <v>0</v>
      </c>
      <c r="H28" s="2" t="n">
        <v>0</v>
      </c>
      <c r="I28" s="29" t="n">
        <v>1</v>
      </c>
      <c r="J28" s="2" t="inlineStr">
        <is>
          <t>77.2 % .. 100.0 %</t>
        </is>
      </c>
      <c r="K28" s="2" t="n">
        <v>1</v>
      </c>
      <c r="L28" s="2" t="n">
        <v>2</v>
      </c>
    </row>
    <row r="29">
      <c r="A29" s="2" t="inlineStr">
        <is>
          <t>tile</t>
        </is>
      </c>
      <c r="B29" s="2" t="inlineStr">
        <is>
          <t>host_if</t>
        </is>
      </c>
      <c r="C29" s="2" t="n">
        <v>162</v>
      </c>
      <c r="D29" s="2" t="n">
        <v>99</v>
      </c>
      <c r="E29" s="2" t="n">
        <v>61</v>
      </c>
      <c r="F29" s="2" t="n">
        <v>1</v>
      </c>
      <c r="G29" s="2" t="n">
        <v>1</v>
      </c>
      <c r="H29" s="2" t="n">
        <v>0</v>
      </c>
      <c r="I29" s="29" t="n">
        <v>0.9900990099009901</v>
      </c>
      <c r="J29" s="2" t="inlineStr">
        <is>
          <t>94.6 % .. 99.8 %</t>
        </is>
      </c>
      <c r="K29" s="2" t="n">
        <v>3</v>
      </c>
      <c r="L29" s="2" t="n">
        <v>211</v>
      </c>
    </row>
    <row r="30">
      <c r="A30" s="2" t="inlineStr">
        <is>
          <t>tile</t>
        </is>
      </c>
      <c r="B30" s="2" t="inlineStr">
        <is>
          <t>link_packer</t>
        </is>
      </c>
      <c r="C30" s="2" t="n">
        <v>18</v>
      </c>
      <c r="D30" s="2" t="n">
        <v>0</v>
      </c>
      <c r="E30" s="2" t="n">
        <v>15</v>
      </c>
      <c r="F30" s="2" t="n">
        <v>1</v>
      </c>
      <c r="G30" s="2" t="n">
        <v>2</v>
      </c>
      <c r="H30" s="2" t="n">
        <v>0</v>
      </c>
      <c r="I30" s="29" t="n">
        <v>0.6666666666666666</v>
      </c>
      <c r="J30" s="2" t="inlineStr">
        <is>
          <t>20.8 % .. 93.9 %</t>
        </is>
      </c>
      <c r="K30" s="2" t="n">
        <v>7582</v>
      </c>
      <c r="L30" s="2" t="n">
        <v>7582</v>
      </c>
    </row>
    <row r="31">
      <c r="A31" s="2" t="inlineStr">
        <is>
          <t>tile</t>
        </is>
      </c>
      <c r="B31" s="2" t="inlineStr">
        <is>
          <t>link_unpacker</t>
        </is>
      </c>
      <c r="C31" s="2" t="n">
        <v>18</v>
      </c>
      <c r="D31" s="2" t="n">
        <v>0</v>
      </c>
      <c r="E31" s="2" t="n">
        <v>18</v>
      </c>
      <c r="F31" s="2" t="n">
        <v>0</v>
      </c>
      <c r="G31" s="2" t="n">
        <v>0</v>
      </c>
      <c r="H31" s="2" t="n">
        <v>0</v>
      </c>
      <c r="I31" s="29" t="n"/>
      <c r="J31" s="2" t="inlineStr"/>
      <c r="K31" s="2" t="n"/>
      <c r="L31" s="2" t="n"/>
    </row>
    <row r="32">
      <c r="A32" s="2" t="inlineStr">
        <is>
          <t>tile</t>
        </is>
      </c>
      <c r="B32" s="2" t="inlineStr">
        <is>
          <t>mbist</t>
        </is>
      </c>
      <c r="C32" s="2" t="n">
        <v>23</v>
      </c>
      <c r="D32" s="2" t="n">
        <v>1</v>
      </c>
      <c r="E32" s="2" t="n">
        <v>20</v>
      </c>
      <c r="F32" s="2" t="n">
        <v>2</v>
      </c>
      <c r="G32" s="2" t="n">
        <v>0</v>
      </c>
      <c r="H32" s="2" t="n">
        <v>0</v>
      </c>
      <c r="I32" s="29" t="n">
        <v>0.3333333333333333</v>
      </c>
      <c r="J32" s="2" t="inlineStr">
        <is>
          <t>6.1 % .. 79.2 %</t>
        </is>
      </c>
      <c r="K32" s="2" t="n">
        <v>2</v>
      </c>
      <c r="L32" s="2" t="n">
        <v>2</v>
      </c>
    </row>
    <row r="33">
      <c r="A33" s="2" t="inlineStr">
        <is>
          <t>tile</t>
        </is>
      </c>
      <c r="B33" s="2" t="inlineStr">
        <is>
          <t>neo_core</t>
        </is>
      </c>
      <c r="C33" s="2" t="n">
        <v>20</v>
      </c>
      <c r="D33" s="2" t="n">
        <v>10</v>
      </c>
      <c r="E33" s="2" t="n">
        <v>10</v>
      </c>
      <c r="F33" s="2" t="n">
        <v>0</v>
      </c>
      <c r="G33" s="2" t="n">
        <v>0</v>
      </c>
      <c r="H33" s="2" t="n">
        <v>0</v>
      </c>
      <c r="I33" s="29" t="n">
        <v>1</v>
      </c>
      <c r="J33" s="2" t="inlineStr">
        <is>
          <t>72.2 % .. 100.0 %</t>
        </is>
      </c>
      <c r="K33" s="2" t="n">
        <v>3</v>
      </c>
      <c r="L33" s="2" t="n">
        <v>804</v>
      </c>
    </row>
    <row r="34">
      <c r="A34" s="2" t="inlineStr">
        <is>
          <t>tile</t>
        </is>
      </c>
      <c r="B34" s="2" t="inlineStr">
        <is>
          <t>neo_mac_core</t>
        </is>
      </c>
      <c r="C34" s="2" t="n">
        <v>729</v>
      </c>
      <c r="D34" s="2" t="n">
        <v>376</v>
      </c>
      <c r="E34" s="2" t="n">
        <v>352</v>
      </c>
      <c r="F34" s="2" t="n">
        <v>1</v>
      </c>
      <c r="G34" s="2" t="n">
        <v>0</v>
      </c>
      <c r="H34" s="2" t="n">
        <v>0</v>
      </c>
      <c r="I34" s="29" t="n">
        <v>0.9973474801061007</v>
      </c>
      <c r="J34" s="2" t="inlineStr">
        <is>
          <t>98.5 % .. 100.0 %</t>
        </is>
      </c>
      <c r="K34" s="2" t="n">
        <v>45</v>
      </c>
      <c r="L34" s="2" t="n">
        <v>2002</v>
      </c>
    </row>
    <row r="35">
      <c r="A35" s="2" t="inlineStr">
        <is>
          <t>tile</t>
        </is>
      </c>
      <c r="B35" s="2" t="inlineStr">
        <is>
          <t>neo_mac_core.abft_checker</t>
        </is>
      </c>
      <c r="C35" s="2" t="n">
        <v>27</v>
      </c>
      <c r="D35" s="2" t="n">
        <v>18</v>
      </c>
      <c r="E35" s="2" t="n">
        <v>9</v>
      </c>
      <c r="F35" s="2" t="n">
        <v>0</v>
      </c>
      <c r="G35" s="2" t="n">
        <v>0</v>
      </c>
      <c r="H35" s="2" t="n">
        <v>0</v>
      </c>
      <c r="I35" s="29" t="n">
        <v>1</v>
      </c>
      <c r="J35" s="2" t="inlineStr">
        <is>
          <t>82.4 % .. 100.0 %</t>
        </is>
      </c>
      <c r="K35" s="2" t="n">
        <v>4</v>
      </c>
      <c r="L35" s="2" t="n">
        <v>938</v>
      </c>
    </row>
    <row r="36">
      <c r="A36" s="2" t="inlineStr">
        <is>
          <t>tile</t>
        </is>
      </c>
      <c r="B36" s="2" t="inlineStr">
        <is>
          <t>neo_mac_core_v02</t>
        </is>
      </c>
      <c r="C36" s="2" t="n">
        <v>27</v>
      </c>
      <c r="D36" s="2" t="n">
        <v>0</v>
      </c>
      <c r="E36" s="2" t="n">
        <v>17</v>
      </c>
      <c r="F36" s="2" t="n">
        <v>10</v>
      </c>
      <c r="G36" s="2" t="n">
        <v>0</v>
      </c>
      <c r="H36" s="2" t="n">
        <v>0</v>
      </c>
      <c r="I36" s="29" t="n">
        <v>0</v>
      </c>
      <c r="J36" s="2" t="inlineStr">
        <is>
          <t>0.0 % .. 27.8 %</t>
        </is>
      </c>
      <c r="K36" s="2" t="n"/>
      <c r="L36" s="2" t="n"/>
    </row>
    <row r="37">
      <c r="A37" s="2" t="inlineStr">
        <is>
          <t>tile</t>
        </is>
      </c>
      <c r="B37" s="2" t="inlineStr">
        <is>
          <t>neo_tile</t>
        </is>
      </c>
      <c r="C37" s="2" t="n">
        <v>20</v>
      </c>
      <c r="D37" s="2" t="n">
        <v>14</v>
      </c>
      <c r="E37" s="2" t="n">
        <v>6</v>
      </c>
      <c r="F37" s="2" t="n">
        <v>0</v>
      </c>
      <c r="G37" s="2" t="n">
        <v>0</v>
      </c>
      <c r="H37" s="2" t="n">
        <v>0</v>
      </c>
      <c r="I37" s="29" t="n">
        <v>1</v>
      </c>
      <c r="J37" s="2" t="inlineStr">
        <is>
          <t>78.5 % .. 100.0 %</t>
        </is>
      </c>
      <c r="K37" s="2" t="n">
        <v>2</v>
      </c>
      <c r="L37" s="2" t="n">
        <v>2</v>
      </c>
    </row>
    <row r="38">
      <c r="A38" s="2" t="inlineStr">
        <is>
          <t>tile</t>
        </is>
      </c>
      <c r="B38" s="2" t="inlineStr">
        <is>
          <t>noc_router</t>
        </is>
      </c>
      <c r="C38" s="2" t="n">
        <v>95</v>
      </c>
      <c r="D38" s="2" t="n">
        <v>8</v>
      </c>
      <c r="E38" s="2" t="n">
        <v>84</v>
      </c>
      <c r="F38" s="2" t="n">
        <v>0</v>
      </c>
      <c r="G38" s="2" t="n">
        <v>3</v>
      </c>
      <c r="H38" s="2" t="n">
        <v>0</v>
      </c>
      <c r="I38" s="29" t="n">
        <v>1</v>
      </c>
      <c r="J38" s="2" t="inlineStr">
        <is>
          <t>74.1 % .. 100.0 %</t>
        </is>
      </c>
      <c r="K38" s="2" t="n">
        <v>25</v>
      </c>
      <c r="L38" s="2" t="n">
        <v>2890</v>
      </c>
    </row>
    <row r="39">
      <c r="A39" s="2" t="inlineStr">
        <is>
          <t>tile</t>
        </is>
      </c>
      <c r="B39" s="2" t="inlineStr">
        <is>
          <t>prog_mem</t>
        </is>
      </c>
      <c r="C39" s="2" t="n">
        <v>20</v>
      </c>
      <c r="D39" s="2" t="n">
        <v>15</v>
      </c>
      <c r="E39" s="2" t="n">
        <v>5</v>
      </c>
      <c r="F39" s="2" t="n">
        <v>0</v>
      </c>
      <c r="G39" s="2" t="n">
        <v>0</v>
      </c>
      <c r="H39" s="2" t="n">
        <v>0</v>
      </c>
      <c r="I39" s="29" t="n">
        <v>1</v>
      </c>
      <c r="J39" s="2" t="inlineStr">
        <is>
          <t>79.6 % .. 100.0 %</t>
        </is>
      </c>
      <c r="K39" s="2" t="n">
        <v>2</v>
      </c>
      <c r="L39" s="2" t="n">
        <v>2</v>
      </c>
    </row>
    <row r="40">
      <c r="A40" s="2" t="inlineStr">
        <is>
          <t>tile</t>
        </is>
      </c>
      <c r="B40" s="2" t="inlineStr">
        <is>
          <t>requant</t>
        </is>
      </c>
      <c r="C40" s="2" t="n">
        <v>158</v>
      </c>
      <c r="D40" s="2" t="n">
        <v>40</v>
      </c>
      <c r="E40" s="2" t="n">
        <v>118</v>
      </c>
      <c r="F40" s="2" t="n">
        <v>0</v>
      </c>
      <c r="G40" s="2" t="n">
        <v>0</v>
      </c>
      <c r="H40" s="2" t="n">
        <v>0</v>
      </c>
      <c r="I40" s="29" t="n">
        <v>1</v>
      </c>
      <c r="J40" s="2" t="inlineStr">
        <is>
          <t>91.2 % .. 100.0 %</t>
        </is>
      </c>
      <c r="K40" s="2" t="n">
        <v>1780</v>
      </c>
      <c r="L40" s="2" t="n">
        <v>3491</v>
      </c>
    </row>
    <row r="41">
      <c r="A41" s="2" t="inlineStr">
        <is>
          <t>tile</t>
        </is>
      </c>
      <c r="B41" s="2" t="inlineStr">
        <is>
          <t>sram_bank</t>
        </is>
      </c>
      <c r="C41" s="2" t="n">
        <v>23</v>
      </c>
      <c r="D41" s="2" t="n">
        <v>12</v>
      </c>
      <c r="E41" s="2" t="n">
        <v>11</v>
      </c>
      <c r="F41" s="2" t="n">
        <v>0</v>
      </c>
      <c r="G41" s="2" t="n">
        <v>0</v>
      </c>
      <c r="H41" s="2" t="n">
        <v>0</v>
      </c>
      <c r="I41" s="29" t="n">
        <v>1</v>
      </c>
      <c r="J41" s="2" t="inlineStr">
        <is>
          <t>75.7 % .. 100.0 %</t>
        </is>
      </c>
      <c r="K41" s="2" t="n">
        <v>2</v>
      </c>
      <c r="L41" s="2" t="n">
        <v>2</v>
      </c>
    </row>
    <row r="42">
      <c r="A42" s="2" t="inlineStr">
        <is>
          <t>tile</t>
        </is>
      </c>
      <c r="B42" s="2" t="inlineStr">
        <is>
          <t>sram_bank.macro</t>
        </is>
      </c>
      <c r="C42" s="2" t="n">
        <v>134</v>
      </c>
      <c r="D42" s="2" t="n">
        <v>9</v>
      </c>
      <c r="E42" s="2" t="n">
        <v>125</v>
      </c>
      <c r="F42" s="2" t="n">
        <v>0</v>
      </c>
      <c r="G42" s="2" t="n">
        <v>0</v>
      </c>
      <c r="H42" s="2" t="n">
        <v>0</v>
      </c>
      <c r="I42" s="29" t="n">
        <v>1</v>
      </c>
      <c r="J42" s="2" t="inlineStr">
        <is>
          <t>70.1 % .. 100.0 %</t>
        </is>
      </c>
      <c r="K42" s="2" t="n">
        <v>21</v>
      </c>
      <c r="L42" s="2" t="n">
        <v>35</v>
      </c>
    </row>
    <row r="43">
      <c r="A43" s="2" t="inlineStr">
        <is>
          <t>tile</t>
        </is>
      </c>
      <c r="B43" s="2" t="inlineStr">
        <is>
          <t>sram_bank.sram</t>
        </is>
      </c>
      <c r="C43" s="2" t="n">
        <v>124</v>
      </c>
      <c r="D43" s="2" t="n">
        <v>4</v>
      </c>
      <c r="E43" s="2" t="n">
        <v>120</v>
      </c>
      <c r="F43" s="2" t="n">
        <v>0</v>
      </c>
      <c r="G43" s="2" t="n">
        <v>0</v>
      </c>
      <c r="H43" s="2" t="n">
        <v>0</v>
      </c>
      <c r="I43" s="29" t="n">
        <v>1</v>
      </c>
      <c r="J43" s="2" t="inlineStr">
        <is>
          <t>51.0 % .. 100.0 %</t>
        </is>
      </c>
      <c r="K43" s="2" t="n">
        <v>1203</v>
      </c>
      <c r="L43" s="2" t="n">
        <v>1743</v>
      </c>
    </row>
    <row r="44">
      <c r="A44" s="2" t="inlineStr">
        <is>
          <t>tile</t>
        </is>
      </c>
      <c r="B44" s="2" t="inlineStr">
        <is>
          <t>tile_dma</t>
        </is>
      </c>
      <c r="C44" s="2" t="n">
        <v>53</v>
      </c>
      <c r="D44" s="2" t="n">
        <v>31</v>
      </c>
      <c r="E44" s="2" t="n">
        <v>21</v>
      </c>
      <c r="F44" s="2" t="n">
        <v>0</v>
      </c>
      <c r="G44" s="2" t="n">
        <v>1</v>
      </c>
      <c r="H44" s="2" t="n">
        <v>0</v>
      </c>
      <c r="I44" s="29" t="n">
        <v>1</v>
      </c>
      <c r="J44" s="2" t="inlineStr">
        <is>
          <t>89.3 % .. 100.0 %</t>
        </is>
      </c>
      <c r="K44" s="2" t="n">
        <v>3</v>
      </c>
      <c r="L44" s="2" t="n">
        <v>1188</v>
      </c>
    </row>
    <row r="45">
      <c r="A45" s="2" t="inlineStr">
        <is>
          <t>tile</t>
        </is>
      </c>
      <c r="B45" s="2" t="inlineStr">
        <is>
          <t>tile_nic</t>
        </is>
      </c>
      <c r="C45" s="2" t="n">
        <v>441</v>
      </c>
      <c r="D45" s="2" t="n">
        <v>26</v>
      </c>
      <c r="E45" s="2" t="n">
        <v>411</v>
      </c>
      <c r="F45" s="2" t="n">
        <v>4</v>
      </c>
      <c r="G45" s="2" t="n">
        <v>0</v>
      </c>
      <c r="H45" s="2" t="n">
        <v>0</v>
      </c>
      <c r="I45" s="29" t="n">
        <v>0.8666666666666667</v>
      </c>
      <c r="J45" s="2" t="inlineStr">
        <is>
          <t>70.3 % .. 94.7 %</t>
        </is>
      </c>
      <c r="K45" s="2" t="n">
        <v>836</v>
      </c>
      <c r="L45" s="2" t="n">
        <v>3810</v>
      </c>
    </row>
    <row r="46">
      <c r="A46" s="2" t="inlineStr">
        <is>
          <t>tile</t>
        </is>
      </c>
      <c r="B46" s="2" t="inlineStr">
        <is>
          <t>tile_nic.macro</t>
        </is>
      </c>
      <c r="C46" s="2" t="n">
        <v>69</v>
      </c>
      <c r="D46" s="2" t="n">
        <v>0</v>
      </c>
      <c r="E46" s="2" t="n">
        <v>63</v>
      </c>
      <c r="F46" s="2" t="n">
        <v>6</v>
      </c>
      <c r="G46" s="2" t="n">
        <v>0</v>
      </c>
      <c r="H46" s="2" t="n">
        <v>0</v>
      </c>
      <c r="I46" s="29" t="n">
        <v>0</v>
      </c>
      <c r="J46" s="2" t="inlineStr">
        <is>
          <t>0.0 % .. 39.0 %</t>
        </is>
      </c>
      <c r="K46" s="2" t="n"/>
      <c r="L46" s="2" t="n"/>
    </row>
    <row r="47">
      <c r="A47" s="2" t="inlineStr">
        <is>
          <t>tile</t>
        </is>
      </c>
      <c r="B47" s="2" t="inlineStr">
        <is>
          <t>tile_nic.sram</t>
        </is>
      </c>
      <c r="C47" s="2" t="n">
        <v>110</v>
      </c>
      <c r="D47" s="2" t="n">
        <v>0</v>
      </c>
      <c r="E47" s="2" t="n">
        <v>107</v>
      </c>
      <c r="F47" s="2" t="n">
        <v>3</v>
      </c>
      <c r="G47" s="2" t="n">
        <v>0</v>
      </c>
      <c r="H47" s="2" t="n">
        <v>0</v>
      </c>
      <c r="I47" s="29" t="n">
        <v>0</v>
      </c>
      <c r="J47" s="2" t="inlineStr">
        <is>
          <t>0.0 % .. 56.2 %</t>
        </is>
      </c>
      <c r="K47" s="2" t="n"/>
      <c r="L47" s="2" t="n"/>
    </row>
    <row r="48">
      <c r="A48" s="2" t="inlineStr">
        <is>
          <t>tile</t>
        </is>
      </c>
      <c r="B48" s="2" t="inlineStr">
        <is>
          <t>wbuf_mem</t>
        </is>
      </c>
      <c r="C48" s="2" t="n">
        <v>19</v>
      </c>
      <c r="D48" s="2" t="n">
        <v>11</v>
      </c>
      <c r="E48" s="2" t="n">
        <v>8</v>
      </c>
      <c r="F48" s="2" t="n">
        <v>0</v>
      </c>
      <c r="G48" s="2" t="n">
        <v>0</v>
      </c>
      <c r="H48" s="2" t="n">
        <v>0</v>
      </c>
      <c r="I48" s="29" t="n">
        <v>1</v>
      </c>
      <c r="J48" s="2" t="inlineStr">
        <is>
          <t>74.1 % .. 100.0 %</t>
        </is>
      </c>
      <c r="K48" s="2" t="n">
        <v>2</v>
      </c>
      <c r="L48" s="2" t="n">
        <v>1022</v>
      </c>
    </row>
    <row r="49">
      <c r="A49" s="2" t="inlineStr">
        <is>
          <t>tile</t>
        </is>
      </c>
      <c r="B49" s="2" t="inlineStr">
        <is>
          <t>wbuf_mem.macro</t>
        </is>
      </c>
      <c r="C49" s="2" t="n">
        <v>15</v>
      </c>
      <c r="D49" s="2" t="n">
        <v>6</v>
      </c>
      <c r="E49" s="2" t="n">
        <v>9</v>
      </c>
      <c r="F49" s="2" t="n">
        <v>0</v>
      </c>
      <c r="G49" s="2" t="n">
        <v>0</v>
      </c>
      <c r="H49" s="2" t="n">
        <v>0</v>
      </c>
      <c r="I49" s="29" t="n">
        <v>1</v>
      </c>
      <c r="J49" s="2" t="inlineStr">
        <is>
          <t>61.0 % .. 100.0 %</t>
        </is>
      </c>
      <c r="K49" s="2" t="n">
        <v>1052</v>
      </c>
      <c r="L49" s="2" t="n">
        <v>2694</v>
      </c>
    </row>
    <row r="50">
      <c r="A50" s="2" t="inlineStr">
        <is>
          <t>tile</t>
        </is>
      </c>
      <c r="B50" s="2" t="inlineStr">
        <is>
          <t>wbuf_mem.sram</t>
        </is>
      </c>
      <c r="C50" s="2" t="n">
        <v>115</v>
      </c>
      <c r="D50" s="2" t="n">
        <v>44</v>
      </c>
      <c r="E50" s="2" t="n">
        <v>71</v>
      </c>
      <c r="F50" s="2" t="n">
        <v>0</v>
      </c>
      <c r="G50" s="2" t="n">
        <v>0</v>
      </c>
      <c r="H50" s="2" t="n">
        <v>0</v>
      </c>
      <c r="I50" s="29" t="n">
        <v>1</v>
      </c>
      <c r="J50" s="2" t="inlineStr">
        <is>
          <t>92.0 % .. 100.0 %</t>
        </is>
      </c>
      <c r="K50" s="2" t="n">
        <v>817</v>
      </c>
      <c r="L50" s="2" t="n">
        <v>3140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6" customWidth="1" min="3" max="3"/>
    <col width="70" customWidth="1" min="4" max="4"/>
    <col width="6" customWidth="1" min="5" max="5"/>
    <col width="6" customWidth="1" min="6" max="6"/>
    <col width="8" customWidth="1" min="7" max="7"/>
    <col width="10" customWidth="1" min="8" max="8"/>
    <col width="10" customWidth="1" min="9" max="9"/>
  </cols>
  <sheetData>
    <row r="1">
      <c r="A1" s="8" t="inlineStr">
        <is>
          <t>Dangerous faults (wrong results, no cause) and hangs without a cause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42" customHeight="1">
      <c r="A3" s="3" t="inlineStr">
        <is>
          <t>Build</t>
        </is>
      </c>
      <c r="B3" s="3" t="inlineStr">
        <is>
          <t>Node</t>
        </is>
      </c>
      <c r="C3" s="3" t="inlineStr">
        <is>
          <t>Block</t>
        </is>
      </c>
      <c r="D3" s="3" t="inlineStr">
        <is>
          <t>Flop</t>
        </is>
      </c>
      <c r="E3" s="3" t="inlineStr">
        <is>
          <t>Bit</t>
        </is>
      </c>
      <c r="F3" s="3" t="inlineStr">
        <is>
          <t>Type</t>
        </is>
      </c>
      <c r="G3" s="3" t="inlineStr">
        <is>
          <t>Cycle</t>
        </is>
      </c>
      <c r="H3" s="3" t="inlineStr">
        <is>
          <t>Outcome</t>
        </is>
      </c>
      <c r="I3" s="3" t="inlineStr">
        <is>
          <t>Result words wrong</t>
        </is>
      </c>
    </row>
    <row r="4">
      <c r="A4" s="2" t="inlineStr">
        <is>
          <t>core</t>
        </is>
      </c>
      <c r="B4" s="2" t="inlineStr"/>
      <c r="C4" s="2" t="inlineStr">
        <is>
          <t>act_feeder.sram</t>
        </is>
      </c>
      <c r="D4" s="2" t="inlineStr">
        <is>
          <t>u_dp.u_feeder.u_mem.mem[0]</t>
        </is>
      </c>
      <c r="E4" s="2" t="inlineStr">
        <is>
          <t>11</t>
        </is>
      </c>
      <c r="F4" s="2" t="inlineStr">
        <is>
          <t>flip</t>
        </is>
      </c>
      <c r="G4" s="2" t="inlineStr">
        <is>
          <t>187</t>
        </is>
      </c>
      <c r="H4" s="2" t="inlineStr">
        <is>
          <t>dangerous</t>
        </is>
      </c>
      <c r="I4" s="2" t="inlineStr">
        <is>
          <t>17</t>
        </is>
      </c>
    </row>
    <row r="5">
      <c r="A5" s="2" t="inlineStr">
        <is>
          <t>core</t>
        </is>
      </c>
      <c r="B5" s="2" t="inlineStr"/>
      <c r="C5" s="2" t="inlineStr">
        <is>
          <t>act_feeder.sram</t>
        </is>
      </c>
      <c r="D5" s="2" t="inlineStr">
        <is>
          <t>u_dp.u_feeder.u_mem.mem[10]</t>
        </is>
      </c>
      <c r="E5" s="2" t="inlineStr">
        <is>
          <t>168</t>
        </is>
      </c>
      <c r="F5" s="2" t="inlineStr">
        <is>
          <t>flip</t>
        </is>
      </c>
      <c r="G5" s="2" t="inlineStr">
        <is>
          <t>64</t>
        </is>
      </c>
      <c r="H5" s="2" t="inlineStr">
        <is>
          <t>dangerous</t>
        </is>
      </c>
      <c r="I5" s="2" t="inlineStr">
        <is>
          <t>58</t>
        </is>
      </c>
    </row>
    <row r="6">
      <c r="A6" s="2" t="inlineStr">
        <is>
          <t>core</t>
        </is>
      </c>
      <c r="B6" s="2" t="inlineStr"/>
      <c r="C6" s="2" t="inlineStr">
        <is>
          <t>act_feeder.sram</t>
        </is>
      </c>
      <c r="D6" s="2" t="inlineStr">
        <is>
          <t>u_dp.u_feeder.u_mem.mem[17]</t>
        </is>
      </c>
      <c r="E6" s="2" t="inlineStr">
        <is>
          <t>146</t>
        </is>
      </c>
      <c r="F6" s="2" t="inlineStr">
        <is>
          <t>flip</t>
        </is>
      </c>
      <c r="G6" s="2" t="inlineStr">
        <is>
          <t>496</t>
        </is>
      </c>
      <c r="H6" s="2" t="inlineStr">
        <is>
          <t>dangerous</t>
        </is>
      </c>
      <c r="I6" s="2" t="inlineStr">
        <is>
          <t>9</t>
        </is>
      </c>
    </row>
    <row r="7">
      <c r="A7" s="2" t="inlineStr">
        <is>
          <t>core</t>
        </is>
      </c>
      <c r="B7" s="2" t="inlineStr"/>
      <c r="C7" s="2" t="inlineStr">
        <is>
          <t>act_feeder.sram</t>
        </is>
      </c>
      <c r="D7" s="2" t="inlineStr">
        <is>
          <t>u_dp.u_feeder.u_mem.mem[19]</t>
        </is>
      </c>
      <c r="E7" s="2" t="inlineStr">
        <is>
          <t>205</t>
        </is>
      </c>
      <c r="F7" s="2" t="inlineStr">
        <is>
          <t>flip</t>
        </is>
      </c>
      <c r="G7" s="2" t="inlineStr">
        <is>
          <t>467</t>
        </is>
      </c>
      <c r="H7" s="2" t="inlineStr">
        <is>
          <t>dangerous</t>
        </is>
      </c>
      <c r="I7" s="2" t="inlineStr">
        <is>
          <t>69</t>
        </is>
      </c>
    </row>
    <row r="8">
      <c r="A8" s="2" t="inlineStr">
        <is>
          <t>core</t>
        </is>
      </c>
      <c r="B8" s="2" t="inlineStr"/>
      <c r="C8" s="2" t="inlineStr">
        <is>
          <t>act_feeder.sram</t>
        </is>
      </c>
      <c r="D8" s="2" t="inlineStr">
        <is>
          <t>u_dp.u_feeder.u_mem.mem[19]</t>
        </is>
      </c>
      <c r="E8" s="2" t="inlineStr">
        <is>
          <t>96</t>
        </is>
      </c>
      <c r="F8" s="2" t="inlineStr">
        <is>
          <t>flip</t>
        </is>
      </c>
      <c r="G8" s="2" t="inlineStr">
        <is>
          <t>676</t>
        </is>
      </c>
      <c r="H8" s="2" t="inlineStr">
        <is>
          <t>dangerous</t>
        </is>
      </c>
      <c r="I8" s="2" t="inlineStr">
        <is>
          <t>27</t>
        </is>
      </c>
    </row>
    <row r="9">
      <c r="A9" s="2" t="inlineStr">
        <is>
          <t>core</t>
        </is>
      </c>
      <c r="B9" s="2" t="inlineStr"/>
      <c r="C9" s="2" t="inlineStr">
        <is>
          <t>act_feeder.sram</t>
        </is>
      </c>
      <c r="D9" s="2" t="inlineStr">
        <is>
          <t>u_dp.u_feeder.u_mem.mem[20]</t>
        </is>
      </c>
      <c r="E9" s="2" t="inlineStr">
        <is>
          <t>200</t>
        </is>
      </c>
      <c r="F9" s="2" t="inlineStr">
        <is>
          <t>flip</t>
        </is>
      </c>
      <c r="G9" s="2" t="inlineStr">
        <is>
          <t>528</t>
        </is>
      </c>
      <c r="H9" s="2" t="inlineStr">
        <is>
          <t>dangerous</t>
        </is>
      </c>
      <c r="I9" s="2" t="inlineStr">
        <is>
          <t>29</t>
        </is>
      </c>
    </row>
    <row r="10">
      <c r="A10" s="2" t="inlineStr">
        <is>
          <t>core</t>
        </is>
      </c>
      <c r="B10" s="2" t="inlineStr"/>
      <c r="C10" s="2" t="inlineStr">
        <is>
          <t>act_feeder.sram</t>
        </is>
      </c>
      <c r="D10" s="2" t="inlineStr">
        <is>
          <t>u_dp.u_feeder.u_mem.mem[23]</t>
        </is>
      </c>
      <c r="E10" s="2" t="inlineStr">
        <is>
          <t>124</t>
        </is>
      </c>
      <c r="F10" s="2" t="inlineStr">
        <is>
          <t>sa1</t>
        </is>
      </c>
      <c r="G10" s="2" t="inlineStr">
        <is>
          <t>654</t>
        </is>
      </c>
      <c r="H10" s="2" t="inlineStr">
        <is>
          <t>dangerous</t>
        </is>
      </c>
      <c r="I10" s="2" t="inlineStr">
        <is>
          <t>72</t>
        </is>
      </c>
    </row>
    <row r="11">
      <c r="A11" s="2" t="inlineStr">
        <is>
          <t>core</t>
        </is>
      </c>
      <c r="B11" s="2" t="inlineStr"/>
      <c r="C11" s="2" t="inlineStr">
        <is>
          <t>act_feeder.sram</t>
        </is>
      </c>
      <c r="D11" s="2" t="inlineStr">
        <is>
          <t>u_dp.u_feeder.u_mem.mem[24]</t>
        </is>
      </c>
      <c r="E11" s="2" t="inlineStr">
        <is>
          <t>251</t>
        </is>
      </c>
      <c r="F11" s="2" t="inlineStr">
        <is>
          <t>flip</t>
        </is>
      </c>
      <c r="G11" s="2" t="inlineStr">
        <is>
          <t>268</t>
        </is>
      </c>
      <c r="H11" s="2" t="inlineStr">
        <is>
          <t>dangerous</t>
        </is>
      </c>
      <c r="I11" s="2" t="inlineStr">
        <is>
          <t>83</t>
        </is>
      </c>
    </row>
    <row r="12">
      <c r="A12" s="2" t="inlineStr">
        <is>
          <t>core</t>
        </is>
      </c>
      <c r="B12" s="2" t="inlineStr"/>
      <c r="C12" s="2" t="inlineStr">
        <is>
          <t>act_feeder.sram</t>
        </is>
      </c>
      <c r="D12" s="2" t="inlineStr">
        <is>
          <t>u_dp.u_feeder.u_mem.mem[25]</t>
        </is>
      </c>
      <c r="E12" s="2" t="inlineStr">
        <is>
          <t>219</t>
        </is>
      </c>
      <c r="F12" s="2" t="inlineStr">
        <is>
          <t>flip</t>
        </is>
      </c>
      <c r="G12" s="2" t="inlineStr">
        <is>
          <t>295</t>
        </is>
      </c>
      <c r="H12" s="2" t="inlineStr">
        <is>
          <t>dangerous</t>
        </is>
      </c>
      <c r="I12" s="2" t="inlineStr">
        <is>
          <t>79</t>
        </is>
      </c>
    </row>
    <row r="13">
      <c r="A13" s="2" t="inlineStr">
        <is>
          <t>core</t>
        </is>
      </c>
      <c r="B13" s="2" t="inlineStr"/>
      <c r="C13" s="2" t="inlineStr">
        <is>
          <t>act_feeder.sram</t>
        </is>
      </c>
      <c r="D13" s="2" t="inlineStr">
        <is>
          <t>u_dp.u_feeder.u_mem.mem[26]</t>
        </is>
      </c>
      <c r="E13" s="2" t="inlineStr">
        <is>
          <t>70</t>
        </is>
      </c>
      <c r="F13" s="2" t="inlineStr">
        <is>
          <t>flip</t>
        </is>
      </c>
      <c r="G13" s="2" t="inlineStr">
        <is>
          <t>670</t>
        </is>
      </c>
      <c r="H13" s="2" t="inlineStr">
        <is>
          <t>dangerous</t>
        </is>
      </c>
      <c r="I13" s="2" t="inlineStr">
        <is>
          <t>89</t>
        </is>
      </c>
    </row>
    <row r="14">
      <c r="A14" s="2" t="inlineStr">
        <is>
          <t>core</t>
        </is>
      </c>
      <c r="B14" s="2" t="inlineStr"/>
      <c r="C14" s="2" t="inlineStr">
        <is>
          <t>act_feeder.sram</t>
        </is>
      </c>
      <c r="D14" s="2" t="inlineStr">
        <is>
          <t>u_dp.u_feeder.u_mem.mem[28]</t>
        </is>
      </c>
      <c r="E14" s="2" t="inlineStr">
        <is>
          <t>52</t>
        </is>
      </c>
      <c r="F14" s="2" t="inlineStr">
        <is>
          <t>flip</t>
        </is>
      </c>
      <c r="G14" s="2" t="inlineStr">
        <is>
          <t>865</t>
        </is>
      </c>
      <c r="H14" s="2" t="inlineStr">
        <is>
          <t>dangerous</t>
        </is>
      </c>
      <c r="I14" s="2" t="inlineStr">
        <is>
          <t>43</t>
        </is>
      </c>
    </row>
    <row r="15">
      <c r="A15" s="2" t="inlineStr">
        <is>
          <t>core</t>
        </is>
      </c>
      <c r="B15" s="2" t="inlineStr"/>
      <c r="C15" s="2" t="inlineStr">
        <is>
          <t>act_feeder.sram</t>
        </is>
      </c>
      <c r="D15" s="2" t="inlineStr">
        <is>
          <t>u_dp.u_feeder.u_mem.mem[29]</t>
        </is>
      </c>
      <c r="E15" s="2" t="inlineStr">
        <is>
          <t>197</t>
        </is>
      </c>
      <c r="F15" s="2" t="inlineStr">
        <is>
          <t>flip</t>
        </is>
      </c>
      <c r="G15" s="2" t="inlineStr">
        <is>
          <t>88</t>
        </is>
      </c>
      <c r="H15" s="2" t="inlineStr">
        <is>
          <t>dangerous</t>
        </is>
      </c>
      <c r="I15" s="2" t="inlineStr">
        <is>
          <t>72</t>
        </is>
      </c>
    </row>
    <row r="16">
      <c r="A16" s="2" t="inlineStr">
        <is>
          <t>core</t>
        </is>
      </c>
      <c r="B16" s="2" t="inlineStr"/>
      <c r="C16" s="2" t="inlineStr">
        <is>
          <t>act_feeder.sram</t>
        </is>
      </c>
      <c r="D16" s="2" t="inlineStr">
        <is>
          <t>u_dp.u_feeder.u_mem.mem[29]</t>
        </is>
      </c>
      <c r="E16" s="2" t="inlineStr">
        <is>
          <t>172</t>
        </is>
      </c>
      <c r="F16" s="2" t="inlineStr">
        <is>
          <t>flip</t>
        </is>
      </c>
      <c r="G16" s="2" t="inlineStr">
        <is>
          <t>521</t>
        </is>
      </c>
      <c r="H16" s="2" t="inlineStr">
        <is>
          <t>dangerous</t>
        </is>
      </c>
      <c r="I16" s="2" t="inlineStr">
        <is>
          <t>67</t>
        </is>
      </c>
    </row>
    <row r="17">
      <c r="A17" s="2" t="inlineStr">
        <is>
          <t>core</t>
        </is>
      </c>
      <c r="B17" s="2" t="inlineStr"/>
      <c r="C17" s="2" t="inlineStr">
        <is>
          <t>act_feeder.sram</t>
        </is>
      </c>
      <c r="D17" s="2" t="inlineStr">
        <is>
          <t>u_dp.u_feeder.u_mem.mem[2]</t>
        </is>
      </c>
      <c r="E17" s="2" t="inlineStr">
        <is>
          <t>2</t>
        </is>
      </c>
      <c r="F17" s="2" t="inlineStr">
        <is>
          <t>flip</t>
        </is>
      </c>
      <c r="G17" s="2" t="inlineStr">
        <is>
          <t>251</t>
        </is>
      </c>
      <c r="H17" s="2" t="inlineStr">
        <is>
          <t>dangerous</t>
        </is>
      </c>
      <c r="I17" s="2" t="inlineStr">
        <is>
          <t>15</t>
        </is>
      </c>
    </row>
    <row r="18">
      <c r="A18" s="2" t="inlineStr">
        <is>
          <t>core</t>
        </is>
      </c>
      <c r="B18" s="2" t="inlineStr"/>
      <c r="C18" s="2" t="inlineStr">
        <is>
          <t>act_feeder.sram</t>
        </is>
      </c>
      <c r="D18" s="2" t="inlineStr">
        <is>
          <t>u_dp.u_feeder.u_mem.mem[32]</t>
        </is>
      </c>
      <c r="E18" s="2" t="inlineStr">
        <is>
          <t>203</t>
        </is>
      </c>
      <c r="F18" s="2" t="inlineStr">
        <is>
          <t>flip</t>
        </is>
      </c>
      <c r="G18" s="2" t="inlineStr">
        <is>
          <t>501</t>
        </is>
      </c>
      <c r="H18" s="2" t="inlineStr">
        <is>
          <t>dangerous</t>
        </is>
      </c>
      <c r="I18" s="2" t="inlineStr">
        <is>
          <t>51</t>
        </is>
      </c>
    </row>
    <row r="19">
      <c r="A19" s="2" t="inlineStr">
        <is>
          <t>core</t>
        </is>
      </c>
      <c r="B19" s="2" t="inlineStr"/>
      <c r="C19" s="2" t="inlineStr">
        <is>
          <t>act_feeder.sram</t>
        </is>
      </c>
      <c r="D19" s="2" t="inlineStr">
        <is>
          <t>u_dp.u_feeder.u_mem.mem[32]</t>
        </is>
      </c>
      <c r="E19" s="2" t="inlineStr">
        <is>
          <t>46</t>
        </is>
      </c>
      <c r="F19" s="2" t="inlineStr">
        <is>
          <t>sa0</t>
        </is>
      </c>
      <c r="G19" s="2" t="inlineStr">
        <is>
          <t>1018</t>
        </is>
      </c>
      <c r="H19" s="2" t="inlineStr">
        <is>
          <t>dangerous</t>
        </is>
      </c>
      <c r="I19" s="2" t="inlineStr">
        <is>
          <t>14</t>
        </is>
      </c>
    </row>
    <row r="20">
      <c r="A20" s="2" t="inlineStr">
        <is>
          <t>core</t>
        </is>
      </c>
      <c r="B20" s="2" t="inlineStr"/>
      <c r="C20" s="2" t="inlineStr">
        <is>
          <t>act_feeder.sram</t>
        </is>
      </c>
      <c r="D20" s="2" t="inlineStr">
        <is>
          <t>u_dp.u_feeder.u_mem.mem[32]</t>
        </is>
      </c>
      <c r="E20" s="2" t="inlineStr">
        <is>
          <t>241</t>
        </is>
      </c>
      <c r="F20" s="2" t="inlineStr">
        <is>
          <t>flip</t>
        </is>
      </c>
      <c r="G20" s="2" t="inlineStr">
        <is>
          <t>967</t>
        </is>
      </c>
      <c r="H20" s="2" t="inlineStr">
        <is>
          <t>dangerous</t>
        </is>
      </c>
      <c r="I20" s="2" t="inlineStr">
        <is>
          <t>14</t>
        </is>
      </c>
    </row>
    <row r="21">
      <c r="A21" s="2" t="inlineStr">
        <is>
          <t>core</t>
        </is>
      </c>
      <c r="B21" s="2" t="inlineStr"/>
      <c r="C21" s="2" t="inlineStr">
        <is>
          <t>act_feeder.sram</t>
        </is>
      </c>
      <c r="D21" s="2" t="inlineStr">
        <is>
          <t>u_dp.u_feeder.u_mem.mem[32]</t>
        </is>
      </c>
      <c r="E21" s="2" t="inlineStr">
        <is>
          <t>17</t>
        </is>
      </c>
      <c r="F21" s="2" t="inlineStr">
        <is>
          <t>flip</t>
        </is>
      </c>
      <c r="G21" s="2" t="inlineStr">
        <is>
          <t>478</t>
        </is>
      </c>
      <c r="H21" s="2" t="inlineStr">
        <is>
          <t>dangerous</t>
        </is>
      </c>
      <c r="I21" s="2" t="inlineStr">
        <is>
          <t>71</t>
        </is>
      </c>
    </row>
    <row r="22">
      <c r="A22" s="2" t="inlineStr">
        <is>
          <t>core</t>
        </is>
      </c>
      <c r="B22" s="2" t="inlineStr"/>
      <c r="C22" s="2" t="inlineStr">
        <is>
          <t>act_feeder.sram</t>
        </is>
      </c>
      <c r="D22" s="2" t="inlineStr">
        <is>
          <t>u_dp.u_feeder.u_mem.mem[34]</t>
        </is>
      </c>
      <c r="E22" s="2" t="inlineStr">
        <is>
          <t>15</t>
        </is>
      </c>
      <c r="F22" s="2" t="inlineStr">
        <is>
          <t>flip</t>
        </is>
      </c>
      <c r="G22" s="2" t="inlineStr">
        <is>
          <t>161</t>
        </is>
      </c>
      <c r="H22" s="2" t="inlineStr">
        <is>
          <t>dangerous</t>
        </is>
      </c>
      <c r="I22" s="2" t="inlineStr">
        <is>
          <t>82</t>
        </is>
      </c>
    </row>
    <row r="23">
      <c r="A23" s="2" t="inlineStr">
        <is>
          <t>core</t>
        </is>
      </c>
      <c r="B23" s="2" t="inlineStr"/>
      <c r="C23" s="2" t="inlineStr">
        <is>
          <t>act_feeder.sram</t>
        </is>
      </c>
      <c r="D23" s="2" t="inlineStr">
        <is>
          <t>u_dp.u_feeder.u_mem.mem[35]</t>
        </is>
      </c>
      <c r="E23" s="2" t="inlineStr">
        <is>
          <t>63</t>
        </is>
      </c>
      <c r="F23" s="2" t="inlineStr">
        <is>
          <t>flip</t>
        </is>
      </c>
      <c r="G23" s="2" t="inlineStr">
        <is>
          <t>211</t>
        </is>
      </c>
      <c r="H23" s="2" t="inlineStr">
        <is>
          <t>dangerous</t>
        </is>
      </c>
      <c r="I23" s="2" t="inlineStr">
        <is>
          <t>82</t>
        </is>
      </c>
    </row>
    <row r="24">
      <c r="A24" s="2" t="inlineStr">
        <is>
          <t>core</t>
        </is>
      </c>
      <c r="B24" s="2" t="inlineStr"/>
      <c r="C24" s="2" t="inlineStr">
        <is>
          <t>act_feeder.sram</t>
        </is>
      </c>
      <c r="D24" s="2" t="inlineStr">
        <is>
          <t>u_dp.u_feeder.u_mem.mem[35]</t>
        </is>
      </c>
      <c r="E24" s="2" t="inlineStr">
        <is>
          <t>65</t>
        </is>
      </c>
      <c r="F24" s="2" t="inlineStr">
        <is>
          <t>flip</t>
        </is>
      </c>
      <c r="G24" s="2" t="inlineStr">
        <is>
          <t>536</t>
        </is>
      </c>
      <c r="H24" s="2" t="inlineStr">
        <is>
          <t>dangerous</t>
        </is>
      </c>
      <c r="I24" s="2" t="inlineStr">
        <is>
          <t>43</t>
        </is>
      </c>
    </row>
    <row r="25">
      <c r="A25" s="2" t="inlineStr">
        <is>
          <t>core</t>
        </is>
      </c>
      <c r="B25" s="2" t="inlineStr"/>
      <c r="C25" s="2" t="inlineStr">
        <is>
          <t>act_feeder.sram</t>
        </is>
      </c>
      <c r="D25" s="2" t="inlineStr">
        <is>
          <t>u_dp.u_feeder.u_mem.mem[37]</t>
        </is>
      </c>
      <c r="E25" s="2" t="inlineStr">
        <is>
          <t>27</t>
        </is>
      </c>
      <c r="F25" s="2" t="inlineStr">
        <is>
          <t>flip</t>
        </is>
      </c>
      <c r="G25" s="2" t="inlineStr">
        <is>
          <t>185</t>
        </is>
      </c>
      <c r="H25" s="2" t="inlineStr">
        <is>
          <t>dangerous</t>
        </is>
      </c>
      <c r="I25" s="2" t="inlineStr">
        <is>
          <t>54</t>
        </is>
      </c>
    </row>
    <row r="26">
      <c r="A26" s="2" t="inlineStr">
        <is>
          <t>core</t>
        </is>
      </c>
      <c r="B26" s="2" t="inlineStr"/>
      <c r="C26" s="2" t="inlineStr">
        <is>
          <t>act_feeder.sram</t>
        </is>
      </c>
      <c r="D26" s="2" t="inlineStr">
        <is>
          <t>u_dp.u_feeder.u_mem.mem[39]</t>
        </is>
      </c>
      <c r="E26" s="2" t="inlineStr">
        <is>
          <t>156</t>
        </is>
      </c>
      <c r="F26" s="2" t="inlineStr">
        <is>
          <t>flip</t>
        </is>
      </c>
      <c r="G26" s="2" t="inlineStr">
        <is>
          <t>1008</t>
        </is>
      </c>
      <c r="H26" s="2" t="inlineStr">
        <is>
          <t>dangerous</t>
        </is>
      </c>
      <c r="I26" s="2" t="inlineStr">
        <is>
          <t>98</t>
        </is>
      </c>
    </row>
    <row r="27">
      <c r="A27" s="2" t="inlineStr">
        <is>
          <t>core</t>
        </is>
      </c>
      <c r="B27" s="2" t="inlineStr"/>
      <c r="C27" s="2" t="inlineStr">
        <is>
          <t>act_feeder.sram</t>
        </is>
      </c>
      <c r="D27" s="2" t="inlineStr">
        <is>
          <t>u_dp.u_feeder.u_mem.mem[3]</t>
        </is>
      </c>
      <c r="E27" s="2" t="inlineStr">
        <is>
          <t>245</t>
        </is>
      </c>
      <c r="F27" s="2" t="inlineStr">
        <is>
          <t>flip</t>
        </is>
      </c>
      <c r="G27" s="2" t="inlineStr">
        <is>
          <t>292</t>
        </is>
      </c>
      <c r="H27" s="2" t="inlineStr">
        <is>
          <t>dangerous</t>
        </is>
      </c>
      <c r="I27" s="2" t="inlineStr">
        <is>
          <t>48</t>
        </is>
      </c>
    </row>
    <row r="28">
      <c r="A28" s="2" t="inlineStr">
        <is>
          <t>core</t>
        </is>
      </c>
      <c r="B28" s="2" t="inlineStr"/>
      <c r="C28" s="2" t="inlineStr">
        <is>
          <t>act_feeder.sram</t>
        </is>
      </c>
      <c r="D28" s="2" t="inlineStr">
        <is>
          <t>u_dp.u_feeder.u_mem.mem[3]</t>
        </is>
      </c>
      <c r="E28" s="2" t="inlineStr">
        <is>
          <t>207</t>
        </is>
      </c>
      <c r="F28" s="2" t="inlineStr">
        <is>
          <t>sa0</t>
        </is>
      </c>
      <c r="G28" s="2" t="inlineStr">
        <is>
          <t>208</t>
        </is>
      </c>
      <c r="H28" s="2" t="inlineStr">
        <is>
          <t>dangerous</t>
        </is>
      </c>
      <c r="I28" s="2" t="inlineStr">
        <is>
          <t>70</t>
        </is>
      </c>
    </row>
    <row r="29">
      <c r="A29" s="2" t="inlineStr">
        <is>
          <t>core</t>
        </is>
      </c>
      <c r="B29" s="2" t="inlineStr"/>
      <c r="C29" s="2" t="inlineStr">
        <is>
          <t>act_feeder.sram</t>
        </is>
      </c>
      <c r="D29" s="2" t="inlineStr">
        <is>
          <t>u_dp.u_feeder.u_mem.mem[41]</t>
        </is>
      </c>
      <c r="E29" s="2" t="inlineStr">
        <is>
          <t>41</t>
        </is>
      </c>
      <c r="F29" s="2" t="inlineStr">
        <is>
          <t>flip</t>
        </is>
      </c>
      <c r="G29" s="2" t="inlineStr">
        <is>
          <t>422</t>
        </is>
      </c>
      <c r="H29" s="2" t="inlineStr">
        <is>
          <t>dangerous</t>
        </is>
      </c>
      <c r="I29" s="2" t="inlineStr">
        <is>
          <t>65</t>
        </is>
      </c>
    </row>
    <row r="30">
      <c r="A30" s="2" t="inlineStr">
        <is>
          <t>core</t>
        </is>
      </c>
      <c r="B30" s="2" t="inlineStr"/>
      <c r="C30" s="2" t="inlineStr">
        <is>
          <t>act_feeder.sram</t>
        </is>
      </c>
      <c r="D30" s="2" t="inlineStr">
        <is>
          <t>u_dp.u_feeder.u_mem.mem[41]</t>
        </is>
      </c>
      <c r="E30" s="2" t="inlineStr">
        <is>
          <t>51</t>
        </is>
      </c>
      <c r="F30" s="2" t="inlineStr">
        <is>
          <t>flip</t>
        </is>
      </c>
      <c r="G30" s="2" t="inlineStr">
        <is>
          <t>613</t>
        </is>
      </c>
      <c r="H30" s="2" t="inlineStr">
        <is>
          <t>dangerous</t>
        </is>
      </c>
      <c r="I30" s="2" t="inlineStr">
        <is>
          <t>74</t>
        </is>
      </c>
    </row>
    <row r="31">
      <c r="A31" s="2" t="inlineStr">
        <is>
          <t>core</t>
        </is>
      </c>
      <c r="B31" s="2" t="inlineStr"/>
      <c r="C31" s="2" t="inlineStr">
        <is>
          <t>act_feeder.sram</t>
        </is>
      </c>
      <c r="D31" s="2" t="inlineStr">
        <is>
          <t>u_dp.u_feeder.u_mem.mem[43]</t>
        </is>
      </c>
      <c r="E31" s="2" t="inlineStr">
        <is>
          <t>135</t>
        </is>
      </c>
      <c r="F31" s="2" t="inlineStr">
        <is>
          <t>flip</t>
        </is>
      </c>
      <c r="G31" s="2" t="inlineStr">
        <is>
          <t>199</t>
        </is>
      </c>
      <c r="H31" s="2" t="inlineStr">
        <is>
          <t>dangerous</t>
        </is>
      </c>
      <c r="I31" s="2" t="inlineStr">
        <is>
          <t>120</t>
        </is>
      </c>
    </row>
    <row r="32">
      <c r="A32" s="2" t="inlineStr">
        <is>
          <t>core</t>
        </is>
      </c>
      <c r="B32" s="2" t="inlineStr"/>
      <c r="C32" s="2" t="inlineStr">
        <is>
          <t>act_feeder.sram</t>
        </is>
      </c>
      <c r="D32" s="2" t="inlineStr">
        <is>
          <t>u_dp.u_feeder.u_mem.mem[43]</t>
        </is>
      </c>
      <c r="E32" s="2" t="inlineStr">
        <is>
          <t>163</t>
        </is>
      </c>
      <c r="F32" s="2" t="inlineStr">
        <is>
          <t>flip</t>
        </is>
      </c>
      <c r="G32" s="2" t="inlineStr">
        <is>
          <t>1409</t>
        </is>
      </c>
      <c r="H32" s="2" t="inlineStr">
        <is>
          <t>dangerous</t>
        </is>
      </c>
      <c r="I32" s="2" t="inlineStr">
        <is>
          <t>36</t>
        </is>
      </c>
    </row>
    <row r="33">
      <c r="A33" s="2" t="inlineStr">
        <is>
          <t>core</t>
        </is>
      </c>
      <c r="B33" s="2" t="inlineStr"/>
      <c r="C33" s="2" t="inlineStr">
        <is>
          <t>act_feeder.sram</t>
        </is>
      </c>
      <c r="D33" s="2" t="inlineStr">
        <is>
          <t>u_dp.u_feeder.u_mem.mem[43]</t>
        </is>
      </c>
      <c r="E33" s="2" t="inlineStr">
        <is>
          <t>4</t>
        </is>
      </c>
      <c r="F33" s="2" t="inlineStr">
        <is>
          <t>flip</t>
        </is>
      </c>
      <c r="G33" s="2" t="inlineStr">
        <is>
          <t>875</t>
        </is>
      </c>
      <c r="H33" s="2" t="inlineStr">
        <is>
          <t>dangerous</t>
        </is>
      </c>
      <c r="I33" s="2" t="inlineStr">
        <is>
          <t>88</t>
        </is>
      </c>
    </row>
    <row r="34">
      <c r="A34" s="2" t="inlineStr">
        <is>
          <t>core</t>
        </is>
      </c>
      <c r="B34" s="2" t="inlineStr"/>
      <c r="C34" s="2" t="inlineStr">
        <is>
          <t>act_feeder.sram</t>
        </is>
      </c>
      <c r="D34" s="2" t="inlineStr">
        <is>
          <t>u_dp.u_feeder.u_mem.mem[44]</t>
        </is>
      </c>
      <c r="E34" s="2" t="inlineStr">
        <is>
          <t>48</t>
        </is>
      </c>
      <c r="F34" s="2" t="inlineStr">
        <is>
          <t>sa1</t>
        </is>
      </c>
      <c r="G34" s="2" t="inlineStr">
        <is>
          <t>296</t>
        </is>
      </c>
      <c r="H34" s="2" t="inlineStr">
        <is>
          <t>dangerous</t>
        </is>
      </c>
      <c r="I34" s="2" t="inlineStr">
        <is>
          <t>62</t>
        </is>
      </c>
    </row>
    <row r="35">
      <c r="A35" s="2" t="inlineStr">
        <is>
          <t>core</t>
        </is>
      </c>
      <c r="B35" s="2" t="inlineStr"/>
      <c r="C35" s="2" t="inlineStr">
        <is>
          <t>act_feeder.sram</t>
        </is>
      </c>
      <c r="D35" s="2" t="inlineStr">
        <is>
          <t>u_dp.u_feeder.u_mem.mem[44]</t>
        </is>
      </c>
      <c r="E35" s="2" t="inlineStr">
        <is>
          <t>63</t>
        </is>
      </c>
      <c r="F35" s="2" t="inlineStr">
        <is>
          <t>sa1</t>
        </is>
      </c>
      <c r="G35" s="2" t="inlineStr">
        <is>
          <t>1572</t>
        </is>
      </c>
      <c r="H35" s="2" t="inlineStr">
        <is>
          <t>dangerous</t>
        </is>
      </c>
      <c r="I35" s="2" t="inlineStr">
        <is>
          <t>12</t>
        </is>
      </c>
    </row>
    <row r="36">
      <c r="A36" s="2" t="inlineStr">
        <is>
          <t>core</t>
        </is>
      </c>
      <c r="B36" s="2" t="inlineStr"/>
      <c r="C36" s="2" t="inlineStr">
        <is>
          <t>act_feeder.sram</t>
        </is>
      </c>
      <c r="D36" s="2" t="inlineStr">
        <is>
          <t>u_dp.u_feeder.u_mem.mem[45]</t>
        </is>
      </c>
      <c r="E36" s="2" t="inlineStr">
        <is>
          <t>178</t>
        </is>
      </c>
      <c r="F36" s="2" t="inlineStr">
        <is>
          <t>flip</t>
        </is>
      </c>
      <c r="G36" s="2" t="inlineStr">
        <is>
          <t>584</t>
        </is>
      </c>
      <c r="H36" s="2" t="inlineStr">
        <is>
          <t>dangerous</t>
        </is>
      </c>
      <c r="I36" s="2" t="inlineStr">
        <is>
          <t>72</t>
        </is>
      </c>
    </row>
    <row r="37">
      <c r="A37" s="2" t="inlineStr">
        <is>
          <t>core</t>
        </is>
      </c>
      <c r="B37" s="2" t="inlineStr"/>
      <c r="C37" s="2" t="inlineStr">
        <is>
          <t>act_feeder.sram</t>
        </is>
      </c>
      <c r="D37" s="2" t="inlineStr">
        <is>
          <t>u_dp.u_feeder.u_mem.mem[46]</t>
        </is>
      </c>
      <c r="E37" s="2" t="inlineStr">
        <is>
          <t>135</t>
        </is>
      </c>
      <c r="F37" s="2" t="inlineStr">
        <is>
          <t>flip</t>
        </is>
      </c>
      <c r="G37" s="2" t="inlineStr">
        <is>
          <t>931</t>
        </is>
      </c>
      <c r="H37" s="2" t="inlineStr">
        <is>
          <t>dangerous</t>
        </is>
      </c>
      <c r="I37" s="2" t="inlineStr">
        <is>
          <t>121</t>
        </is>
      </c>
    </row>
    <row r="38">
      <c r="A38" s="2" t="inlineStr">
        <is>
          <t>core</t>
        </is>
      </c>
      <c r="B38" s="2" t="inlineStr"/>
      <c r="C38" s="2" t="inlineStr">
        <is>
          <t>act_feeder.sram</t>
        </is>
      </c>
      <c r="D38" s="2" t="inlineStr">
        <is>
          <t>u_dp.u_feeder.u_mem.mem[47]</t>
        </is>
      </c>
      <c r="E38" s="2" t="inlineStr">
        <is>
          <t>184</t>
        </is>
      </c>
      <c r="F38" s="2" t="inlineStr">
        <is>
          <t>flip</t>
        </is>
      </c>
      <c r="G38" s="2" t="inlineStr">
        <is>
          <t>906</t>
        </is>
      </c>
      <c r="H38" s="2" t="inlineStr">
        <is>
          <t>dangerous</t>
        </is>
      </c>
      <c r="I38" s="2" t="inlineStr">
        <is>
          <t>44</t>
        </is>
      </c>
    </row>
    <row r="39">
      <c r="A39" s="2" t="inlineStr">
        <is>
          <t>core</t>
        </is>
      </c>
      <c r="B39" s="2" t="inlineStr"/>
      <c r="C39" s="2" t="inlineStr">
        <is>
          <t>act_feeder.sram</t>
        </is>
      </c>
      <c r="D39" s="2" t="inlineStr">
        <is>
          <t>u_dp.u_feeder.u_mem.mem[48]</t>
        </is>
      </c>
      <c r="E39" s="2" t="inlineStr">
        <is>
          <t>33</t>
        </is>
      </c>
      <c r="F39" s="2" t="inlineStr">
        <is>
          <t>flip</t>
        </is>
      </c>
      <c r="G39" s="2" t="inlineStr">
        <is>
          <t>212</t>
        </is>
      </c>
      <c r="H39" s="2" t="inlineStr">
        <is>
          <t>dangerous</t>
        </is>
      </c>
      <c r="I39" s="2" t="inlineStr">
        <is>
          <t>43</t>
        </is>
      </c>
    </row>
    <row r="40">
      <c r="A40" s="2" t="inlineStr">
        <is>
          <t>core</t>
        </is>
      </c>
      <c r="B40" s="2" t="inlineStr"/>
      <c r="C40" s="2" t="inlineStr">
        <is>
          <t>act_feeder.sram</t>
        </is>
      </c>
      <c r="D40" s="2" t="inlineStr">
        <is>
          <t>u_dp.u_feeder.u_mem.mem[50]</t>
        </is>
      </c>
      <c r="E40" s="2" t="inlineStr">
        <is>
          <t>1</t>
        </is>
      </c>
      <c r="F40" s="2" t="inlineStr">
        <is>
          <t>flip</t>
        </is>
      </c>
      <c r="G40" s="2" t="inlineStr">
        <is>
          <t>1453</t>
        </is>
      </c>
      <c r="H40" s="2" t="inlineStr">
        <is>
          <t>dangerous</t>
        </is>
      </c>
      <c r="I40" s="2" t="inlineStr">
        <is>
          <t>23</t>
        </is>
      </c>
    </row>
    <row r="41">
      <c r="A41" s="2" t="inlineStr">
        <is>
          <t>core</t>
        </is>
      </c>
      <c r="B41" s="2" t="inlineStr"/>
      <c r="C41" s="2" t="inlineStr">
        <is>
          <t>act_feeder.sram</t>
        </is>
      </c>
      <c r="D41" s="2" t="inlineStr">
        <is>
          <t>u_dp.u_feeder.u_mem.mem[51]</t>
        </is>
      </c>
      <c r="E41" s="2" t="inlineStr">
        <is>
          <t>130</t>
        </is>
      </c>
      <c r="F41" s="2" t="inlineStr">
        <is>
          <t>flip</t>
        </is>
      </c>
      <c r="G41" s="2" t="inlineStr">
        <is>
          <t>1302</t>
        </is>
      </c>
      <c r="H41" s="2" t="inlineStr">
        <is>
          <t>dangerous</t>
        </is>
      </c>
      <c r="I41" s="2" t="inlineStr">
        <is>
          <t>49</t>
        </is>
      </c>
    </row>
    <row r="42">
      <c r="A42" s="2" t="inlineStr">
        <is>
          <t>core</t>
        </is>
      </c>
      <c r="B42" s="2" t="inlineStr"/>
      <c r="C42" s="2" t="inlineStr">
        <is>
          <t>act_feeder.sram</t>
        </is>
      </c>
      <c r="D42" s="2" t="inlineStr">
        <is>
          <t>u_dp.u_feeder.u_mem.mem[51]</t>
        </is>
      </c>
      <c r="E42" s="2" t="inlineStr">
        <is>
          <t>176</t>
        </is>
      </c>
      <c r="F42" s="2" t="inlineStr">
        <is>
          <t>flip</t>
        </is>
      </c>
      <c r="G42" s="2" t="inlineStr">
        <is>
          <t>797</t>
        </is>
      </c>
      <c r="H42" s="2" t="inlineStr">
        <is>
          <t>dangerous</t>
        </is>
      </c>
      <c r="I42" s="2" t="inlineStr">
        <is>
          <t>41</t>
        </is>
      </c>
    </row>
    <row r="43">
      <c r="A43" s="2" t="inlineStr">
        <is>
          <t>core</t>
        </is>
      </c>
      <c r="B43" s="2" t="inlineStr"/>
      <c r="C43" s="2" t="inlineStr">
        <is>
          <t>act_feeder.sram</t>
        </is>
      </c>
      <c r="D43" s="2" t="inlineStr">
        <is>
          <t>u_dp.u_feeder.u_mem.mem[5]</t>
        </is>
      </c>
      <c r="E43" s="2" t="inlineStr">
        <is>
          <t>16</t>
        </is>
      </c>
      <c r="F43" s="2" t="inlineStr">
        <is>
          <t>flip</t>
        </is>
      </c>
      <c r="G43" s="2" t="inlineStr">
        <is>
          <t>7</t>
        </is>
      </c>
      <c r="H43" s="2" t="inlineStr">
        <is>
          <t>dangerous</t>
        </is>
      </c>
      <c r="I43" s="2" t="inlineStr">
        <is>
          <t>66</t>
        </is>
      </c>
    </row>
    <row r="44">
      <c r="A44" s="2" t="inlineStr">
        <is>
          <t>core</t>
        </is>
      </c>
      <c r="B44" s="2" t="inlineStr"/>
      <c r="C44" s="2" t="inlineStr">
        <is>
          <t>act_feeder.sram</t>
        </is>
      </c>
      <c r="D44" s="2" t="inlineStr">
        <is>
          <t>u_dp.u_feeder.u_mem.mem[6]</t>
        </is>
      </c>
      <c r="E44" s="2" t="inlineStr">
        <is>
          <t>216</t>
        </is>
      </c>
      <c r="F44" s="2" t="inlineStr">
        <is>
          <t>flip</t>
        </is>
      </c>
      <c r="G44" s="2" t="inlineStr">
        <is>
          <t>44</t>
        </is>
      </c>
      <c r="H44" s="2" t="inlineStr">
        <is>
          <t>dangerous</t>
        </is>
      </c>
      <c r="I44" s="2" t="inlineStr">
        <is>
          <t>56</t>
        </is>
      </c>
    </row>
    <row r="45">
      <c r="A45" s="2" t="inlineStr">
        <is>
          <t>core</t>
        </is>
      </c>
      <c r="B45" s="2" t="inlineStr"/>
      <c r="C45" s="2" t="inlineStr">
        <is>
          <t>act_feeder.sram</t>
        </is>
      </c>
      <c r="D45" s="2" t="inlineStr">
        <is>
          <t>u_dp.u_feeder.u_mem.mem[7]</t>
        </is>
      </c>
      <c r="E45" s="2" t="inlineStr">
        <is>
          <t>243</t>
        </is>
      </c>
      <c r="F45" s="2" t="inlineStr">
        <is>
          <t>flip</t>
        </is>
      </c>
      <c r="G45" s="2" t="inlineStr">
        <is>
          <t>384</t>
        </is>
      </c>
      <c r="H45" s="2" t="inlineStr">
        <is>
          <t>dangerous</t>
        </is>
      </c>
      <c r="I45" s="2" t="inlineStr">
        <is>
          <t>26</t>
        </is>
      </c>
    </row>
    <row r="46">
      <c r="A46" s="2" t="inlineStr">
        <is>
          <t>core</t>
        </is>
      </c>
      <c r="B46" s="2" t="inlineStr"/>
      <c r="C46" s="2" t="inlineStr">
        <is>
          <t>act_feeder.sram</t>
        </is>
      </c>
      <c r="D46" s="2" t="inlineStr">
        <is>
          <t>u_dp.u_feeder.u_mem.mem[7]</t>
        </is>
      </c>
      <c r="E46" s="2" t="inlineStr">
        <is>
          <t>135</t>
        </is>
      </c>
      <c r="F46" s="2" t="inlineStr">
        <is>
          <t>flip</t>
        </is>
      </c>
      <c r="G46" s="2" t="inlineStr">
        <is>
          <t>395</t>
        </is>
      </c>
      <c r="H46" s="2" t="inlineStr">
        <is>
          <t>dangerous</t>
        </is>
      </c>
      <c r="I46" s="2" t="inlineStr">
        <is>
          <t>28</t>
        </is>
      </c>
    </row>
    <row r="47">
      <c r="A47" s="2" t="inlineStr">
        <is>
          <t>core</t>
        </is>
      </c>
      <c r="B47" s="2" t="inlineStr"/>
      <c r="C47" s="2" t="inlineStr">
        <is>
          <t>act_feeder.sram</t>
        </is>
      </c>
      <c r="D47" s="2" t="inlineStr">
        <is>
          <t>u_dp.u_feeder.u_mem.mem[7]</t>
        </is>
      </c>
      <c r="E47" s="2" t="inlineStr">
        <is>
          <t>163</t>
        </is>
      </c>
      <c r="F47" s="2" t="inlineStr">
        <is>
          <t>flip</t>
        </is>
      </c>
      <c r="G47" s="2" t="inlineStr">
        <is>
          <t>365</t>
        </is>
      </c>
      <c r="H47" s="2" t="inlineStr">
        <is>
          <t>dangerous</t>
        </is>
      </c>
      <c r="I47" s="2" t="inlineStr">
        <is>
          <t>27</t>
        </is>
      </c>
    </row>
    <row r="48">
      <c r="A48" s="2" t="inlineStr">
        <is>
          <t>core</t>
        </is>
      </c>
      <c r="B48" s="2" t="inlineStr"/>
      <c r="C48" s="2" t="inlineStr">
        <is>
          <t>neo_mac_core</t>
        </is>
      </c>
      <c r="D48" s="2" t="inlineStr">
        <is>
          <t>u_dp.u_core.g_vskew[11].g_vd.u_vd.pipe[1]</t>
        </is>
      </c>
      <c r="E48" s="2" t="inlineStr">
        <is>
          <t>0</t>
        </is>
      </c>
      <c r="F48" s="2" t="inlineStr">
        <is>
          <t>sa0</t>
        </is>
      </c>
      <c r="G48" s="2" t="inlineStr">
        <is>
          <t>227</t>
        </is>
      </c>
      <c r="H48" s="2" t="inlineStr">
        <is>
          <t>dangerous</t>
        </is>
      </c>
      <c r="I48" s="2" t="inlineStr">
        <is>
          <t>503</t>
        </is>
      </c>
    </row>
    <row r="49">
      <c r="A49" s="2" t="inlineStr">
        <is>
          <t>core</t>
        </is>
      </c>
      <c r="B49" s="2" t="inlineStr"/>
      <c r="C49" s="2" t="inlineStr">
        <is>
          <t>neo_mac_core</t>
        </is>
      </c>
      <c r="D49" s="2" t="inlineStr">
        <is>
          <t>u_dp.u_core.g_vskew[12].g_vd.u_vd.pipe[11]</t>
        </is>
      </c>
      <c r="E49" s="2" t="inlineStr">
        <is>
          <t>0</t>
        </is>
      </c>
      <c r="F49" s="2" t="inlineStr">
        <is>
          <t>flip</t>
        </is>
      </c>
      <c r="G49" s="2" t="inlineStr">
        <is>
          <t>174</t>
        </is>
      </c>
      <c r="H49" s="2" t="inlineStr">
        <is>
          <t>dangerous</t>
        </is>
      </c>
      <c r="I49" s="2" t="inlineStr">
        <is>
          <t>13</t>
        </is>
      </c>
    </row>
    <row r="50">
      <c r="A50" s="2" t="inlineStr">
        <is>
          <t>core</t>
        </is>
      </c>
      <c r="B50" s="2" t="inlineStr"/>
      <c r="C50" s="2" t="inlineStr">
        <is>
          <t>neo_mac_core</t>
        </is>
      </c>
      <c r="D50" s="2" t="inlineStr">
        <is>
          <t>u_dp.u_core.g_vskew[12].g_vd.u_vd.pipe[8]</t>
        </is>
      </c>
      <c r="E50" s="2" t="inlineStr">
        <is>
          <t>0</t>
        </is>
      </c>
      <c r="F50" s="2" t="inlineStr">
        <is>
          <t>flip</t>
        </is>
      </c>
      <c r="G50" s="2" t="inlineStr">
        <is>
          <t>349</t>
        </is>
      </c>
      <c r="H50" s="2" t="inlineStr">
        <is>
          <t>dangerous</t>
        </is>
      </c>
      <c r="I50" s="2" t="inlineStr">
        <is>
          <t>14</t>
        </is>
      </c>
    </row>
    <row r="51">
      <c r="A51" s="2" t="inlineStr">
        <is>
          <t>core</t>
        </is>
      </c>
      <c r="B51" s="2" t="inlineStr"/>
      <c r="C51" s="2" t="inlineStr">
        <is>
          <t>neo_mac_core</t>
        </is>
      </c>
      <c r="D51" s="2" t="inlineStr">
        <is>
          <t>u_dp.u_core.g_vskew[14].g_vd.u_vd.pipe[5]</t>
        </is>
      </c>
      <c r="E51" s="2" t="inlineStr">
        <is>
          <t>0</t>
        </is>
      </c>
      <c r="F51" s="2" t="inlineStr">
        <is>
          <t>flip</t>
        </is>
      </c>
      <c r="G51" s="2" t="inlineStr">
        <is>
          <t>685</t>
        </is>
      </c>
      <c r="H51" s="2" t="inlineStr">
        <is>
          <t>dangerous</t>
        </is>
      </c>
      <c r="I51" s="2" t="inlineStr">
        <is>
          <t>14</t>
        </is>
      </c>
    </row>
    <row r="52">
      <c r="A52" s="2" t="inlineStr">
        <is>
          <t>core</t>
        </is>
      </c>
      <c r="B52" s="2" t="inlineStr"/>
      <c r="C52" s="2" t="inlineStr">
        <is>
          <t>neo_mac_core</t>
        </is>
      </c>
      <c r="D52" s="2" t="inlineStr">
        <is>
          <t>u_dp.u_core.g_vskew[4].g_vd.u_vd.pipe[0]</t>
        </is>
      </c>
      <c r="E52" s="2" t="inlineStr">
        <is>
          <t>0</t>
        </is>
      </c>
      <c r="F52" s="2" t="inlineStr">
        <is>
          <t>flip</t>
        </is>
      </c>
      <c r="G52" s="2" t="inlineStr">
        <is>
          <t>1238</t>
        </is>
      </c>
      <c r="H52" s="2" t="inlineStr">
        <is>
          <t>dangerous</t>
        </is>
      </c>
      <c r="I52" s="2" t="inlineStr">
        <is>
          <t>14</t>
        </is>
      </c>
    </row>
    <row r="53">
      <c r="A53" s="2" t="inlineStr">
        <is>
          <t>core</t>
        </is>
      </c>
      <c r="B53" s="2" t="inlineStr"/>
      <c r="C53" s="2" t="inlineStr">
        <is>
          <t>neo_mac_core</t>
        </is>
      </c>
      <c r="D53" s="2" t="inlineStr">
        <is>
          <t>u_dp.u_core.g_vskew[4].g_vd.u_vd.pipe[2]</t>
        </is>
      </c>
      <c r="E53" s="2" t="inlineStr">
        <is>
          <t>0</t>
        </is>
      </c>
      <c r="F53" s="2" t="inlineStr">
        <is>
          <t>flip</t>
        </is>
      </c>
      <c r="G53" s="2" t="inlineStr">
        <is>
          <t>1346</t>
        </is>
      </c>
      <c r="H53" s="2" t="inlineStr">
        <is>
          <t>dangerous</t>
        </is>
      </c>
      <c r="I53" s="2" t="inlineStr">
        <is>
          <t>14</t>
        </is>
      </c>
    </row>
    <row r="54">
      <c r="A54" s="2" t="inlineStr">
        <is>
          <t>core</t>
        </is>
      </c>
      <c r="B54" s="2" t="inlineStr"/>
      <c r="C54" s="2" t="inlineStr">
        <is>
          <t>neo_mac_core</t>
        </is>
      </c>
      <c r="D54" s="2" t="inlineStr">
        <is>
          <t>u_dp.u_core.u_skew.g_pairs.g_pair[1].g_next.u_da.pipe[0]</t>
        </is>
      </c>
      <c r="E54" s="2" t="inlineStr">
        <is>
          <t>14</t>
        </is>
      </c>
      <c r="F54" s="2" t="inlineStr">
        <is>
          <t>flip</t>
        </is>
      </c>
      <c r="G54" s="2" t="inlineStr">
        <is>
          <t>1471</t>
        </is>
      </c>
      <c r="H54" s="2" t="inlineStr">
        <is>
          <t>dangerous</t>
        </is>
      </c>
      <c r="I54" s="2" t="inlineStr">
        <is>
          <t>14</t>
        </is>
      </c>
    </row>
    <row r="55">
      <c r="A55" s="2" t="inlineStr">
        <is>
          <t>core</t>
        </is>
      </c>
      <c r="B55" s="2" t="inlineStr"/>
      <c r="C55" s="2" t="inlineStr">
        <is>
          <t>neo_mac_core</t>
        </is>
      </c>
      <c r="D55" s="2" t="inlineStr">
        <is>
          <t>u_dp.u_core.u_skew.g_pairs.g_pair[1].g_next.u_da.pipe[1]</t>
        </is>
      </c>
      <c r="E55" s="2" t="inlineStr">
        <is>
          <t>4</t>
        </is>
      </c>
      <c r="F55" s="2" t="inlineStr">
        <is>
          <t>flip</t>
        </is>
      </c>
      <c r="G55" s="2" t="inlineStr">
        <is>
          <t>862</t>
        </is>
      </c>
      <c r="H55" s="2" t="inlineStr">
        <is>
          <t>dangerous</t>
        </is>
      </c>
      <c r="I55" s="2" t="inlineStr">
        <is>
          <t>12</t>
        </is>
      </c>
    </row>
    <row r="56">
      <c r="A56" s="2" t="inlineStr">
        <is>
          <t>core</t>
        </is>
      </c>
      <c r="B56" s="2" t="inlineStr"/>
      <c r="C56" s="2" t="inlineStr">
        <is>
          <t>neo_mac_core</t>
        </is>
      </c>
      <c r="D56" s="2" t="inlineStr">
        <is>
          <t>u_dp.u_core.u_skew.g_pairs.g_pair[1].g_next.u_db.pipe[0]</t>
        </is>
      </c>
      <c r="E56" s="2" t="inlineStr">
        <is>
          <t>14</t>
        </is>
      </c>
      <c r="F56" s="2" t="inlineStr">
        <is>
          <t>flip</t>
        </is>
      </c>
      <c r="G56" s="2" t="inlineStr">
        <is>
          <t>1224</t>
        </is>
      </c>
      <c r="H56" s="2" t="inlineStr">
        <is>
          <t>dangerous</t>
        </is>
      </c>
      <c r="I56" s="2" t="inlineStr">
        <is>
          <t>14</t>
        </is>
      </c>
    </row>
    <row r="57">
      <c r="A57" s="2" t="inlineStr">
        <is>
          <t>core</t>
        </is>
      </c>
      <c r="B57" s="2" t="inlineStr"/>
      <c r="C57" s="2" t="inlineStr">
        <is>
          <t>neo_mac_core</t>
        </is>
      </c>
      <c r="D57" s="2" t="inlineStr">
        <is>
          <t>u_dp.u_core.u_skew.g_pairs.g_pair[1].g_next.u_db.pipe[1]</t>
        </is>
      </c>
      <c r="E57" s="2" t="inlineStr">
        <is>
          <t>10</t>
        </is>
      </c>
      <c r="F57" s="2" t="inlineStr">
        <is>
          <t>sa1</t>
        </is>
      </c>
      <c r="G57" s="2" t="inlineStr">
        <is>
          <t>547</t>
        </is>
      </c>
      <c r="H57" s="2" t="inlineStr">
        <is>
          <t>dangerous</t>
        </is>
      </c>
      <c r="I57" s="2" t="inlineStr">
        <is>
          <t>355</t>
        </is>
      </c>
    </row>
    <row r="58">
      <c r="A58" s="2" t="inlineStr">
        <is>
          <t>core</t>
        </is>
      </c>
      <c r="B58" s="2" t="inlineStr"/>
      <c r="C58" s="2" t="inlineStr">
        <is>
          <t>neo_mac_core</t>
        </is>
      </c>
      <c r="D58" s="2" t="inlineStr">
        <is>
          <t>u_dp.u_core.u_skew.g_pairs.g_pair[1].g_next.u_db.pipe[1]</t>
        </is>
      </c>
      <c r="E58" s="2" t="inlineStr">
        <is>
          <t>8</t>
        </is>
      </c>
      <c r="F58" s="2" t="inlineStr">
        <is>
          <t>sa0</t>
        </is>
      </c>
      <c r="G58" s="2" t="inlineStr">
        <is>
          <t>801</t>
        </is>
      </c>
      <c r="H58" s="2" t="inlineStr">
        <is>
          <t>dangerous</t>
        </is>
      </c>
      <c r="I58" s="2" t="inlineStr">
        <is>
          <t>264</t>
        </is>
      </c>
    </row>
    <row r="59">
      <c r="A59" s="2" t="inlineStr">
        <is>
          <t>core</t>
        </is>
      </c>
      <c r="B59" s="2" t="inlineStr"/>
      <c r="C59" s="2" t="inlineStr">
        <is>
          <t>neo_mac_core</t>
        </is>
      </c>
      <c r="D59" s="2" t="inlineStr">
        <is>
          <t>u_dp.u_core.u_skew.g_pairs.g_pair[1].st1</t>
        </is>
      </c>
      <c r="E59" s="2" t="inlineStr">
        <is>
          <t>11</t>
        </is>
      </c>
      <c r="F59" s="2" t="inlineStr">
        <is>
          <t>sa1</t>
        </is>
      </c>
      <c r="G59" s="2" t="inlineStr">
        <is>
          <t>666</t>
        </is>
      </c>
      <c r="H59" s="2" t="inlineStr">
        <is>
          <t>dangerous</t>
        </is>
      </c>
      <c r="I59" s="2" t="inlineStr">
        <is>
          <t>403</t>
        </is>
      </c>
    </row>
    <row r="60">
      <c r="A60" s="2" t="inlineStr">
        <is>
          <t>core</t>
        </is>
      </c>
      <c r="B60" s="2" t="inlineStr"/>
      <c r="C60" s="2" t="inlineStr">
        <is>
          <t>neo_mac_core</t>
        </is>
      </c>
      <c r="D60" s="2" t="inlineStr">
        <is>
          <t>u_dp.u_core.u_skew.g_pairs.g_pair[2].g_next.u_da.pipe[1]</t>
        </is>
      </c>
      <c r="E60" s="2" t="inlineStr">
        <is>
          <t>15</t>
        </is>
      </c>
      <c r="F60" s="2" t="inlineStr">
        <is>
          <t>sa1</t>
        </is>
      </c>
      <c r="G60" s="2" t="inlineStr">
        <is>
          <t>1435</t>
        </is>
      </c>
      <c r="H60" s="2" t="inlineStr">
        <is>
          <t>dangerous</t>
        </is>
      </c>
      <c r="I60" s="2" t="inlineStr">
        <is>
          <t>471</t>
        </is>
      </c>
    </row>
    <row r="61">
      <c r="A61" s="2" t="inlineStr">
        <is>
          <t>core</t>
        </is>
      </c>
      <c r="B61" s="2" t="inlineStr"/>
      <c r="C61" s="2" t="inlineStr">
        <is>
          <t>neo_mac_core</t>
        </is>
      </c>
      <c r="D61" s="2" t="inlineStr">
        <is>
          <t>u_dp.u_core.u_skew.g_pairs.g_pair[2].g_next.u_da.pipe[1]</t>
        </is>
      </c>
      <c r="E61" s="2" t="inlineStr">
        <is>
          <t>14</t>
        </is>
      </c>
      <c r="F61" s="2" t="inlineStr">
        <is>
          <t>flip</t>
        </is>
      </c>
      <c r="G61" s="2" t="inlineStr">
        <is>
          <t>143</t>
        </is>
      </c>
      <c r="H61" s="2" t="inlineStr">
        <is>
          <t>dangerous</t>
        </is>
      </c>
      <c r="I61" s="2" t="inlineStr">
        <is>
          <t>13</t>
        </is>
      </c>
    </row>
    <row r="62">
      <c r="A62" s="2" t="inlineStr">
        <is>
          <t>core</t>
        </is>
      </c>
      <c r="B62" s="2" t="inlineStr"/>
      <c r="C62" s="2" t="inlineStr">
        <is>
          <t>neo_mac_core</t>
        </is>
      </c>
      <c r="D62" s="2" t="inlineStr">
        <is>
          <t>u_dp.u_core.u_skew.g_pairs.g_pair[2].g_next.u_da.pipe[2]</t>
        </is>
      </c>
      <c r="E62" s="2" t="inlineStr">
        <is>
          <t>6</t>
        </is>
      </c>
      <c r="F62" s="2" t="inlineStr">
        <is>
          <t>sa0</t>
        </is>
      </c>
      <c r="G62" s="2" t="inlineStr">
        <is>
          <t>870</t>
        </is>
      </c>
      <c r="H62" s="2" t="inlineStr">
        <is>
          <t>dangerous</t>
        </is>
      </c>
      <c r="I62" s="2" t="inlineStr">
        <is>
          <t>484</t>
        </is>
      </c>
    </row>
    <row r="63">
      <c r="A63" s="2" t="inlineStr">
        <is>
          <t>core</t>
        </is>
      </c>
      <c r="B63" s="2" t="inlineStr"/>
      <c r="C63" s="2" t="inlineStr">
        <is>
          <t>neo_mac_core</t>
        </is>
      </c>
      <c r="D63" s="2" t="inlineStr">
        <is>
          <t>u_dp.u_core.u_skew.g_pairs.g_pair[2].g_next.u_da.pipe[2]</t>
        </is>
      </c>
      <c r="E63" s="2" t="inlineStr">
        <is>
          <t>11</t>
        </is>
      </c>
      <c r="F63" s="2" t="inlineStr">
        <is>
          <t>sa0</t>
        </is>
      </c>
      <c r="G63" s="2" t="inlineStr">
        <is>
          <t>233</t>
        </is>
      </c>
      <c r="H63" s="2" t="inlineStr">
        <is>
          <t>dangerous</t>
        </is>
      </c>
      <c r="I63" s="2" t="inlineStr">
        <is>
          <t>396</t>
        </is>
      </c>
    </row>
    <row r="64">
      <c r="A64" s="2" t="inlineStr">
        <is>
          <t>core</t>
        </is>
      </c>
      <c r="B64" s="2" t="inlineStr"/>
      <c r="C64" s="2" t="inlineStr">
        <is>
          <t>neo_mac_core</t>
        </is>
      </c>
      <c r="D64" s="2" t="inlineStr">
        <is>
          <t>u_dp.u_core.u_skew.g_pairs.g_pair[2].g_next.u_da.pipe[4]</t>
        </is>
      </c>
      <c r="E64" s="2" t="inlineStr">
        <is>
          <t>8</t>
        </is>
      </c>
      <c r="F64" s="2" t="inlineStr">
        <is>
          <t>flip</t>
        </is>
      </c>
      <c r="G64" s="2" t="inlineStr">
        <is>
          <t>282</t>
        </is>
      </c>
      <c r="H64" s="2" t="inlineStr">
        <is>
          <t>dangerous</t>
        </is>
      </c>
      <c r="I64" s="2" t="inlineStr">
        <is>
          <t>7</t>
        </is>
      </c>
    </row>
    <row r="65">
      <c r="A65" s="2" t="inlineStr">
        <is>
          <t>core</t>
        </is>
      </c>
      <c r="B65" s="2" t="inlineStr"/>
      <c r="C65" s="2" t="inlineStr">
        <is>
          <t>neo_mac_core</t>
        </is>
      </c>
      <c r="D65" s="2" t="inlineStr">
        <is>
          <t>u_dp.u_core.u_skew.g_pairs.g_pair[2].g_next.u_da.pipe[4]</t>
        </is>
      </c>
      <c r="E65" s="2" t="inlineStr">
        <is>
          <t>15</t>
        </is>
      </c>
      <c r="F65" s="2" t="inlineStr">
        <is>
          <t>sa0</t>
        </is>
      </c>
      <c r="G65" s="2" t="inlineStr">
        <is>
          <t>1241</t>
        </is>
      </c>
      <c r="H65" s="2" t="inlineStr">
        <is>
          <t>dangerous</t>
        </is>
      </c>
      <c r="I65" s="2" t="inlineStr">
        <is>
          <t>480</t>
        </is>
      </c>
    </row>
    <row r="66">
      <c r="A66" s="2" t="inlineStr">
        <is>
          <t>core</t>
        </is>
      </c>
      <c r="B66" s="2" t="inlineStr"/>
      <c r="C66" s="2" t="inlineStr">
        <is>
          <t>neo_mac_core</t>
        </is>
      </c>
      <c r="D66" s="2" t="inlineStr">
        <is>
          <t>u_dp.u_core.u_skew.g_pairs.g_pair[2].g_next.u_da.pipe[4]</t>
        </is>
      </c>
      <c r="E66" s="2" t="inlineStr">
        <is>
          <t>4</t>
        </is>
      </c>
      <c r="F66" s="2" t="inlineStr">
        <is>
          <t>sa1</t>
        </is>
      </c>
      <c r="G66" s="2" t="inlineStr">
        <is>
          <t>70</t>
        </is>
      </c>
      <c r="H66" s="2" t="inlineStr">
        <is>
          <t>dangerous</t>
        </is>
      </c>
      <c r="I66" s="2" t="inlineStr">
        <is>
          <t>447</t>
        </is>
      </c>
    </row>
    <row r="67">
      <c r="A67" s="2" t="inlineStr">
        <is>
          <t>core</t>
        </is>
      </c>
      <c r="B67" s="2" t="inlineStr"/>
      <c r="C67" s="2" t="inlineStr">
        <is>
          <t>neo_mac_core</t>
        </is>
      </c>
      <c r="D67" s="2" t="inlineStr">
        <is>
          <t>u_dp.u_core.u_skew.g_pairs.g_pair[2].g_next.u_da.pipe[5]</t>
        </is>
      </c>
      <c r="E67" s="2" t="inlineStr">
        <is>
          <t>15</t>
        </is>
      </c>
      <c r="F67" s="2" t="inlineStr">
        <is>
          <t>flip</t>
        </is>
      </c>
      <c r="G67" s="2" t="inlineStr">
        <is>
          <t>28</t>
        </is>
      </c>
      <c r="H67" s="2" t="inlineStr">
        <is>
          <t>dangerous</t>
        </is>
      </c>
      <c r="I67" s="2" t="inlineStr">
        <is>
          <t>14</t>
        </is>
      </c>
    </row>
    <row r="68">
      <c r="A68" s="2" t="inlineStr">
        <is>
          <t>core</t>
        </is>
      </c>
      <c r="B68" s="2" t="inlineStr"/>
      <c r="C68" s="2" t="inlineStr">
        <is>
          <t>neo_mac_core</t>
        </is>
      </c>
      <c r="D68" s="2" t="inlineStr">
        <is>
          <t>u_dp.u_core.u_skew.g_pairs.g_pair[2].st1</t>
        </is>
      </c>
      <c r="E68" s="2" t="inlineStr">
        <is>
          <t>14</t>
        </is>
      </c>
      <c r="F68" s="2" t="inlineStr">
        <is>
          <t>flip</t>
        </is>
      </c>
      <c r="G68" s="2" t="inlineStr">
        <is>
          <t>84</t>
        </is>
      </c>
      <c r="H68" s="2" t="inlineStr">
        <is>
          <t>dangerous</t>
        </is>
      </c>
      <c r="I68" s="2" t="inlineStr">
        <is>
          <t>14</t>
        </is>
      </c>
    </row>
    <row r="69">
      <c r="A69" s="2" t="inlineStr">
        <is>
          <t>core</t>
        </is>
      </c>
      <c r="B69" s="2" t="inlineStr"/>
      <c r="C69" s="2" t="inlineStr">
        <is>
          <t>neo_mac_core</t>
        </is>
      </c>
      <c r="D69" s="2" t="inlineStr">
        <is>
          <t>u_dp.u_core.u_skew.g_pairs.g_pair[2].st1</t>
        </is>
      </c>
      <c r="E69" s="2" t="inlineStr">
        <is>
          <t>1</t>
        </is>
      </c>
      <c r="F69" s="2" t="inlineStr">
        <is>
          <t>flip</t>
        </is>
      </c>
      <c r="G69" s="2" t="inlineStr">
        <is>
          <t>1492</t>
        </is>
      </c>
      <c r="H69" s="2" t="inlineStr">
        <is>
          <t>dangerous</t>
        </is>
      </c>
      <c r="I69" s="2" t="inlineStr">
        <is>
          <t>9</t>
        </is>
      </c>
    </row>
    <row r="70">
      <c r="A70" s="2" t="inlineStr">
        <is>
          <t>core</t>
        </is>
      </c>
      <c r="B70" s="2" t="inlineStr"/>
      <c r="C70" s="2" t="inlineStr">
        <is>
          <t>neo_mac_core</t>
        </is>
      </c>
      <c r="D70" s="2" t="inlineStr">
        <is>
          <t>u_dp.u_core.u_skew.g_pairs.g_pair[3].g_next.u_da.pipe[0]</t>
        </is>
      </c>
      <c r="E70" s="2" t="inlineStr">
        <is>
          <t>2</t>
        </is>
      </c>
      <c r="F70" s="2" t="inlineStr">
        <is>
          <t>sa1</t>
        </is>
      </c>
      <c r="G70" s="2" t="inlineStr">
        <is>
          <t>824</t>
        </is>
      </c>
      <c r="H70" s="2" t="inlineStr">
        <is>
          <t>dangerous</t>
        </is>
      </c>
      <c r="I70" s="2" t="inlineStr">
        <is>
          <t>302</t>
        </is>
      </c>
    </row>
    <row r="71">
      <c r="A71" s="2" t="inlineStr">
        <is>
          <t>core</t>
        </is>
      </c>
      <c r="B71" s="2" t="inlineStr"/>
      <c r="C71" s="2" t="inlineStr">
        <is>
          <t>neo_mac_core</t>
        </is>
      </c>
      <c r="D71" s="2" t="inlineStr">
        <is>
          <t>u_dp.u_core.u_skew.g_pairs.g_pair[3].g_next.u_da.pipe[3]</t>
        </is>
      </c>
      <c r="E71" s="2" t="inlineStr">
        <is>
          <t>12</t>
        </is>
      </c>
      <c r="F71" s="2" t="inlineStr">
        <is>
          <t>flip</t>
        </is>
      </c>
      <c r="G71" s="2" t="inlineStr">
        <is>
          <t>1288</t>
        </is>
      </c>
      <c r="H71" s="2" t="inlineStr">
        <is>
          <t>dangerous</t>
        </is>
      </c>
      <c r="I71" s="2" t="inlineStr">
        <is>
          <t>11</t>
        </is>
      </c>
    </row>
    <row r="72">
      <c r="A72" s="2" t="inlineStr">
        <is>
          <t>core</t>
        </is>
      </c>
      <c r="B72" s="2" t="inlineStr"/>
      <c r="C72" s="2" t="inlineStr">
        <is>
          <t>neo_mac_core</t>
        </is>
      </c>
      <c r="D72" s="2" t="inlineStr">
        <is>
          <t>u_dp.u_core.u_skew.g_pairs.g_pair[3].g_next.u_da.pipe[4]</t>
        </is>
      </c>
      <c r="E72" s="2" t="inlineStr">
        <is>
          <t>5</t>
        </is>
      </c>
      <c r="F72" s="2" t="inlineStr">
        <is>
          <t>sa0</t>
        </is>
      </c>
      <c r="G72" s="2" t="inlineStr">
        <is>
          <t>607</t>
        </is>
      </c>
      <c r="H72" s="2" t="inlineStr">
        <is>
          <t>dangerous</t>
        </is>
      </c>
      <c r="I72" s="2" t="inlineStr">
        <is>
          <t>465</t>
        </is>
      </c>
    </row>
    <row r="73">
      <c r="A73" s="2" t="inlineStr">
        <is>
          <t>core</t>
        </is>
      </c>
      <c r="B73" s="2" t="inlineStr"/>
      <c r="C73" s="2" t="inlineStr">
        <is>
          <t>neo_mac_core</t>
        </is>
      </c>
      <c r="D73" s="2" t="inlineStr">
        <is>
          <t>u_dp.u_core.u_skew.g_pairs.g_pair[3].g_next.u_da.pipe[4]</t>
        </is>
      </c>
      <c r="E73" s="2" t="inlineStr">
        <is>
          <t>14</t>
        </is>
      </c>
      <c r="F73" s="2" t="inlineStr">
        <is>
          <t>sa0</t>
        </is>
      </c>
      <c r="G73" s="2" t="inlineStr">
        <is>
          <t>655</t>
        </is>
      </c>
      <c r="H73" s="2" t="inlineStr">
        <is>
          <t>dangerous</t>
        </is>
      </c>
      <c r="I73" s="2" t="inlineStr">
        <is>
          <t>475</t>
        </is>
      </c>
    </row>
    <row r="74">
      <c r="A74" s="2" t="inlineStr">
        <is>
          <t>core</t>
        </is>
      </c>
      <c r="B74" s="2" t="inlineStr"/>
      <c r="C74" s="2" t="inlineStr">
        <is>
          <t>neo_mac_core</t>
        </is>
      </c>
      <c r="D74" s="2" t="inlineStr">
        <is>
          <t>u_dp.u_core.u_skew.g_pairs.g_pair[3].g_next.u_da.pipe[5]</t>
        </is>
      </c>
      <c r="E74" s="2" t="inlineStr">
        <is>
          <t>14</t>
        </is>
      </c>
      <c r="F74" s="2" t="inlineStr">
        <is>
          <t>sa0</t>
        </is>
      </c>
      <c r="G74" s="2" t="inlineStr">
        <is>
          <t>126</t>
        </is>
      </c>
      <c r="H74" s="2" t="inlineStr">
        <is>
          <t>dangerous</t>
        </is>
      </c>
      <c r="I74" s="2" t="inlineStr">
        <is>
          <t>477</t>
        </is>
      </c>
    </row>
    <row r="75">
      <c r="A75" s="2" t="inlineStr">
        <is>
          <t>core</t>
        </is>
      </c>
      <c r="B75" s="2" t="inlineStr"/>
      <c r="C75" s="2" t="inlineStr">
        <is>
          <t>neo_mac_core</t>
        </is>
      </c>
      <c r="D75" s="2" t="inlineStr">
        <is>
          <t>u_dp.u_core.u_skew.g_pairs.g_pair[3].g_next.u_da.pipe[5]</t>
        </is>
      </c>
      <c r="E75" s="2" t="inlineStr">
        <is>
          <t>9</t>
        </is>
      </c>
      <c r="F75" s="2" t="inlineStr">
        <is>
          <t>flip</t>
        </is>
      </c>
      <c r="G75" s="2" t="inlineStr">
        <is>
          <t>154</t>
        </is>
      </c>
      <c r="H75" s="2" t="inlineStr">
        <is>
          <t>dangerous</t>
        </is>
      </c>
      <c r="I75" s="2" t="inlineStr">
        <is>
          <t>8</t>
        </is>
      </c>
    </row>
    <row r="76">
      <c r="A76" s="2" t="inlineStr">
        <is>
          <t>core</t>
        </is>
      </c>
      <c r="B76" s="2" t="inlineStr"/>
      <c r="C76" s="2" t="inlineStr">
        <is>
          <t>neo_mac_core</t>
        </is>
      </c>
      <c r="D76" s="2" t="inlineStr">
        <is>
          <t>u_dp.u_core.u_skew.g_pairs.g_pair[3].g_next.u_da.pipe[6]</t>
        </is>
      </c>
      <c r="E76" s="2" t="inlineStr">
        <is>
          <t>14</t>
        </is>
      </c>
      <c r="F76" s="2" t="inlineStr">
        <is>
          <t>sa0</t>
        </is>
      </c>
      <c r="G76" s="2" t="inlineStr">
        <is>
          <t>428</t>
        </is>
      </c>
      <c r="H76" s="2" t="inlineStr">
        <is>
          <t>dangerous</t>
        </is>
      </c>
      <c r="I76" s="2" t="inlineStr">
        <is>
          <t>488</t>
        </is>
      </c>
    </row>
    <row r="77">
      <c r="A77" s="2" t="inlineStr">
        <is>
          <t>core</t>
        </is>
      </c>
      <c r="B77" s="2" t="inlineStr"/>
      <c r="C77" s="2" t="inlineStr">
        <is>
          <t>neo_mac_core</t>
        </is>
      </c>
      <c r="D77" s="2" t="inlineStr">
        <is>
          <t>u_dp.u_core.u_skew.g_pairs.g_pair[3].g_next.u_da.pipe[9]</t>
        </is>
      </c>
      <c r="E77" s="2" t="inlineStr">
        <is>
          <t>6</t>
        </is>
      </c>
      <c r="F77" s="2" t="inlineStr">
        <is>
          <t>flip</t>
        </is>
      </c>
      <c r="G77" s="2" t="inlineStr">
        <is>
          <t>579</t>
        </is>
      </c>
      <c r="H77" s="2" t="inlineStr">
        <is>
          <t>dangerous</t>
        </is>
      </c>
      <c r="I77" s="2" t="inlineStr">
        <is>
          <t>14</t>
        </is>
      </c>
    </row>
    <row r="78">
      <c r="A78" s="2" t="inlineStr">
        <is>
          <t>core</t>
        </is>
      </c>
      <c r="B78" s="2" t="inlineStr"/>
      <c r="C78" s="2" t="inlineStr">
        <is>
          <t>neo_mac_core</t>
        </is>
      </c>
      <c r="D78" s="2" t="inlineStr">
        <is>
          <t>u_dp.u_core.u_skew.g_pairs.g_pair[3].g_next.u_da.pipe[9]</t>
        </is>
      </c>
      <c r="E78" s="2" t="inlineStr">
        <is>
          <t>12</t>
        </is>
      </c>
      <c r="F78" s="2" t="inlineStr">
        <is>
          <t>sa1</t>
        </is>
      </c>
      <c r="G78" s="2" t="inlineStr">
        <is>
          <t>435</t>
        </is>
      </c>
      <c r="H78" s="2" t="inlineStr">
        <is>
          <t>dangerous</t>
        </is>
      </c>
      <c r="I78" s="2" t="inlineStr">
        <is>
          <t>441</t>
        </is>
      </c>
    </row>
    <row r="79">
      <c r="A79" s="2" t="inlineStr">
        <is>
          <t>core</t>
        </is>
      </c>
      <c r="B79" s="2" t="inlineStr"/>
      <c r="C79" s="2" t="inlineStr">
        <is>
          <t>neo_mac_core</t>
        </is>
      </c>
      <c r="D79" s="2" t="inlineStr">
        <is>
          <t>u_dp.u_core.u_skew.g_pairs.g_pair[3].st1</t>
        </is>
      </c>
      <c r="E79" s="2" t="inlineStr">
        <is>
          <t>13</t>
        </is>
      </c>
      <c r="F79" s="2" t="inlineStr">
        <is>
          <t>sa0</t>
        </is>
      </c>
      <c r="G79" s="2" t="inlineStr">
        <is>
          <t>307</t>
        </is>
      </c>
      <c r="H79" s="2" t="inlineStr">
        <is>
          <t>dangerous</t>
        </is>
      </c>
      <c r="I79" s="2" t="inlineStr">
        <is>
          <t>457</t>
        </is>
      </c>
    </row>
    <row r="80">
      <c r="A80" s="2" t="inlineStr">
        <is>
          <t>core</t>
        </is>
      </c>
      <c r="B80" s="2" t="inlineStr"/>
      <c r="C80" s="2" t="inlineStr">
        <is>
          <t>neo_mac_core</t>
        </is>
      </c>
      <c r="D80" s="2" t="inlineStr">
        <is>
          <t>u_dp.u_core.u_skew.g_pairs.g_pair[3].st1</t>
        </is>
      </c>
      <c r="E80" s="2" t="inlineStr">
        <is>
          <t>12</t>
        </is>
      </c>
      <c r="F80" s="2" t="inlineStr">
        <is>
          <t>sa0</t>
        </is>
      </c>
      <c r="G80" s="2" t="inlineStr">
        <is>
          <t>1006</t>
        </is>
      </c>
      <c r="H80" s="2" t="inlineStr">
        <is>
          <t>dangerous</t>
        </is>
      </c>
      <c r="I80" s="2" t="inlineStr">
        <is>
          <t>401</t>
        </is>
      </c>
    </row>
    <row r="81">
      <c r="A81" s="2" t="inlineStr">
        <is>
          <t>core</t>
        </is>
      </c>
      <c r="B81" s="2" t="inlineStr"/>
      <c r="C81" s="2" t="inlineStr">
        <is>
          <t>neo_mac_core</t>
        </is>
      </c>
      <c r="D81" s="2" t="inlineStr">
        <is>
          <t>u_dp.u_core.u_skew.g_pairs.g_pair[4].g_next.r_even</t>
        </is>
      </c>
      <c r="E81" s="2" t="inlineStr">
        <is>
          <t>0</t>
        </is>
      </c>
      <c r="F81" s="2" t="inlineStr">
        <is>
          <t>flip</t>
        </is>
      </c>
      <c r="G81" s="2" t="inlineStr">
        <is>
          <t>537</t>
        </is>
      </c>
      <c r="H81" s="2" t="inlineStr">
        <is>
          <t>dangerous</t>
        </is>
      </c>
      <c r="I81" s="2" t="inlineStr">
        <is>
          <t>7</t>
        </is>
      </c>
    </row>
    <row r="82">
      <c r="A82" s="2" t="inlineStr">
        <is>
          <t>core</t>
        </is>
      </c>
      <c r="B82" s="2" t="inlineStr"/>
      <c r="C82" s="2" t="inlineStr">
        <is>
          <t>neo_mac_core</t>
        </is>
      </c>
      <c r="D82" s="2" t="inlineStr">
        <is>
          <t>u_dp.u_core.u_skew.g_pairs.g_pair[4].g_next.u_da.pipe[13]</t>
        </is>
      </c>
      <c r="E82" s="2" t="inlineStr">
        <is>
          <t>10</t>
        </is>
      </c>
      <c r="F82" s="2" t="inlineStr">
        <is>
          <t>sa1</t>
        </is>
      </c>
      <c r="G82" s="2" t="inlineStr">
        <is>
          <t>612</t>
        </is>
      </c>
      <c r="H82" s="2" t="inlineStr">
        <is>
          <t>dangerous</t>
        </is>
      </c>
      <c r="I82" s="2" t="inlineStr">
        <is>
          <t>308</t>
        </is>
      </c>
    </row>
    <row r="83">
      <c r="A83" s="2" t="inlineStr">
        <is>
          <t>core</t>
        </is>
      </c>
      <c r="B83" s="2" t="inlineStr"/>
      <c r="C83" s="2" t="inlineStr">
        <is>
          <t>neo_mac_core</t>
        </is>
      </c>
      <c r="D83" s="2" t="inlineStr">
        <is>
          <t>u_dp.u_core.u_skew.g_pairs.g_pair[4].g_next.u_da.pipe[6]</t>
        </is>
      </c>
      <c r="E83" s="2" t="inlineStr">
        <is>
          <t>3</t>
        </is>
      </c>
      <c r="F83" s="2" t="inlineStr">
        <is>
          <t>flip</t>
        </is>
      </c>
      <c r="G83" s="2" t="inlineStr">
        <is>
          <t>60</t>
        </is>
      </c>
      <c r="H83" s="2" t="inlineStr">
        <is>
          <t>dangerous</t>
        </is>
      </c>
      <c r="I83" s="2" t="inlineStr">
        <is>
          <t>9</t>
        </is>
      </c>
    </row>
    <row r="84">
      <c r="A84" s="2" t="inlineStr">
        <is>
          <t>core</t>
        </is>
      </c>
      <c r="B84" s="2" t="inlineStr"/>
      <c r="C84" s="2" t="inlineStr">
        <is>
          <t>neo_mac_core</t>
        </is>
      </c>
      <c r="D84" s="2" t="inlineStr">
        <is>
          <t>u_dp.u_core.u_skew.g_pairs.g_pair[4].g_next.u_da.pipe[7]</t>
        </is>
      </c>
      <c r="E84" s="2" t="inlineStr">
        <is>
          <t>8</t>
        </is>
      </c>
      <c r="F84" s="2" t="inlineStr">
        <is>
          <t>flip</t>
        </is>
      </c>
      <c r="G84" s="2" t="inlineStr">
        <is>
          <t>93</t>
        </is>
      </c>
      <c r="H84" s="2" t="inlineStr">
        <is>
          <t>dangerous</t>
        </is>
      </c>
      <c r="I84" s="2" t="inlineStr">
        <is>
          <t>7</t>
        </is>
      </c>
    </row>
    <row r="85">
      <c r="A85" s="2" t="inlineStr">
        <is>
          <t>core</t>
        </is>
      </c>
      <c r="B85" s="2" t="inlineStr"/>
      <c r="C85" s="2" t="inlineStr">
        <is>
          <t>neo_mac_core</t>
        </is>
      </c>
      <c r="D85" s="2" t="inlineStr">
        <is>
          <t>u_dp.u_core.u_skew.g_pairs.g_pair[4].g_next.u_db.pipe[0]</t>
        </is>
      </c>
      <c r="E85" s="2" t="inlineStr">
        <is>
          <t>11</t>
        </is>
      </c>
      <c r="F85" s="2" t="inlineStr">
        <is>
          <t>sa1</t>
        </is>
      </c>
      <c r="G85" s="2" t="inlineStr">
        <is>
          <t>559</t>
        </is>
      </c>
      <c r="H85" s="2" t="inlineStr">
        <is>
          <t>dangerous</t>
        </is>
      </c>
      <c r="I85" s="2" t="inlineStr">
        <is>
          <t>353</t>
        </is>
      </c>
    </row>
    <row r="86">
      <c r="A86" s="2" t="inlineStr">
        <is>
          <t>core</t>
        </is>
      </c>
      <c r="B86" s="2" t="inlineStr"/>
      <c r="C86" s="2" t="inlineStr">
        <is>
          <t>neo_mac_core</t>
        </is>
      </c>
      <c r="D86" s="2" t="inlineStr">
        <is>
          <t>u_dp.u_core.u_skew.g_pairs.g_pair[4].r_odd</t>
        </is>
      </c>
      <c r="E86" s="2" t="inlineStr">
        <is>
          <t>1</t>
        </is>
      </c>
      <c r="F86" s="2" t="inlineStr">
        <is>
          <t>sa1</t>
        </is>
      </c>
      <c r="G86" s="2" t="inlineStr">
        <is>
          <t>1055</t>
        </is>
      </c>
      <c r="H86" s="2" t="inlineStr">
        <is>
          <t>dangerous</t>
        </is>
      </c>
      <c r="I86" s="2" t="inlineStr">
        <is>
          <t>206</t>
        </is>
      </c>
    </row>
    <row r="87">
      <c r="A87" s="2" t="inlineStr">
        <is>
          <t>core</t>
        </is>
      </c>
      <c r="B87" s="2" t="inlineStr"/>
      <c r="C87" s="2" t="inlineStr">
        <is>
          <t>neo_mac_core</t>
        </is>
      </c>
      <c r="D87" s="2" t="inlineStr">
        <is>
          <t>u_dp.u_core.u_skew.g_pairs.g_pair[4].st1</t>
        </is>
      </c>
      <c r="E87" s="2" t="inlineStr">
        <is>
          <t>10</t>
        </is>
      </c>
      <c r="F87" s="2" t="inlineStr">
        <is>
          <t>flip</t>
        </is>
      </c>
      <c r="G87" s="2" t="inlineStr">
        <is>
          <t>872</t>
        </is>
      </c>
      <c r="H87" s="2" t="inlineStr">
        <is>
          <t>dangerous</t>
        </is>
      </c>
      <c r="I87" s="2" t="inlineStr">
        <is>
          <t>7</t>
        </is>
      </c>
    </row>
    <row r="88">
      <c r="A88" s="2" t="inlineStr">
        <is>
          <t>core</t>
        </is>
      </c>
      <c r="B88" s="2" t="inlineStr"/>
      <c r="C88" s="2" t="inlineStr">
        <is>
          <t>neo_mac_core</t>
        </is>
      </c>
      <c r="D88" s="2" t="inlineStr">
        <is>
          <t>u_dp.u_core.u_skew.g_pairs.g_pair[5].g_next.u_da.pipe[12]</t>
        </is>
      </c>
      <c r="E88" s="2" t="inlineStr">
        <is>
          <t>15</t>
        </is>
      </c>
      <c r="F88" s="2" t="inlineStr">
        <is>
          <t>sa1</t>
        </is>
      </c>
      <c r="G88" s="2" t="inlineStr">
        <is>
          <t>436</t>
        </is>
      </c>
      <c r="H88" s="2" t="inlineStr">
        <is>
          <t>dangerous</t>
        </is>
      </c>
      <c r="I88" s="2" t="inlineStr">
        <is>
          <t>501</t>
        </is>
      </c>
    </row>
    <row r="89">
      <c r="A89" s="2" t="inlineStr">
        <is>
          <t>core</t>
        </is>
      </c>
      <c r="B89" s="2" t="inlineStr"/>
      <c r="C89" s="2" t="inlineStr">
        <is>
          <t>neo_mac_core</t>
        </is>
      </c>
      <c r="D89" s="2" t="inlineStr">
        <is>
          <t>u_dp.u_core.u_skew.g_pairs.g_pair[5].g_next.u_da.pipe[13]</t>
        </is>
      </c>
      <c r="E89" s="2" t="inlineStr">
        <is>
          <t>3</t>
        </is>
      </c>
      <c r="F89" s="2" t="inlineStr">
        <is>
          <t>flip</t>
        </is>
      </c>
      <c r="G89" s="2" t="inlineStr">
        <is>
          <t>1059</t>
        </is>
      </c>
      <c r="H89" s="2" t="inlineStr">
        <is>
          <t>dangerous</t>
        </is>
      </c>
      <c r="I89" s="2" t="inlineStr">
        <is>
          <t>9</t>
        </is>
      </c>
    </row>
    <row r="90">
      <c r="A90" s="2" t="inlineStr">
        <is>
          <t>core</t>
        </is>
      </c>
      <c r="B90" s="2" t="inlineStr"/>
      <c r="C90" s="2" t="inlineStr">
        <is>
          <t>neo_mac_core</t>
        </is>
      </c>
      <c r="D90" s="2" t="inlineStr">
        <is>
          <t>u_dp.u_core.u_skew.g_pairs.g_pair[5].g_next.u_da.pipe[16]</t>
        </is>
      </c>
      <c r="E90" s="2" t="inlineStr">
        <is>
          <t>1</t>
        </is>
      </c>
      <c r="F90" s="2" t="inlineStr">
        <is>
          <t>sa0</t>
        </is>
      </c>
      <c r="G90" s="2" t="inlineStr">
        <is>
          <t>993</t>
        </is>
      </c>
      <c r="H90" s="2" t="inlineStr">
        <is>
          <t>dangerous</t>
        </is>
      </c>
      <c r="I90" s="2" t="inlineStr">
        <is>
          <t>129</t>
        </is>
      </c>
    </row>
    <row r="91">
      <c r="A91" s="2" t="inlineStr">
        <is>
          <t>core</t>
        </is>
      </c>
      <c r="B91" s="2" t="inlineStr"/>
      <c r="C91" s="2" t="inlineStr">
        <is>
          <t>neo_mac_core</t>
        </is>
      </c>
      <c r="D91" s="2" t="inlineStr">
        <is>
          <t>u_dp.u_core.u_skew.g_pairs.g_pair[5].g_next.u_da.pipe[5]</t>
        </is>
      </c>
      <c r="E91" s="2" t="inlineStr">
        <is>
          <t>10</t>
        </is>
      </c>
      <c r="F91" s="2" t="inlineStr">
        <is>
          <t>sa0</t>
        </is>
      </c>
      <c r="G91" s="2" t="inlineStr">
        <is>
          <t>443</t>
        </is>
      </c>
      <c r="H91" s="2" t="inlineStr">
        <is>
          <t>dangerous</t>
        </is>
      </c>
      <c r="I91" s="2" t="inlineStr">
        <is>
          <t>335</t>
        </is>
      </c>
    </row>
    <row r="92">
      <c r="A92" s="2" t="inlineStr">
        <is>
          <t>core</t>
        </is>
      </c>
      <c r="B92" s="2" t="inlineStr"/>
      <c r="C92" s="2" t="inlineStr">
        <is>
          <t>neo_mac_core</t>
        </is>
      </c>
      <c r="D92" s="2" t="inlineStr">
        <is>
          <t>u_dp.u_core.u_skew.g_pairs.g_pair[5].g_next.u_da.pipe[6]</t>
        </is>
      </c>
      <c r="E92" s="2" t="inlineStr">
        <is>
          <t>0</t>
        </is>
      </c>
      <c r="F92" s="2" t="inlineStr">
        <is>
          <t>sa1</t>
        </is>
      </c>
      <c r="G92" s="2" t="inlineStr">
        <is>
          <t>114</t>
        </is>
      </c>
      <c r="H92" s="2" t="inlineStr">
        <is>
          <t>dangerous</t>
        </is>
      </c>
      <c r="I92" s="2" t="inlineStr">
        <is>
          <t>280</t>
        </is>
      </c>
    </row>
    <row r="93">
      <c r="A93" s="2" t="inlineStr">
        <is>
          <t>core</t>
        </is>
      </c>
      <c r="B93" s="2" t="inlineStr"/>
      <c r="C93" s="2" t="inlineStr">
        <is>
          <t>neo_mac_core</t>
        </is>
      </c>
      <c r="D93" s="2" t="inlineStr">
        <is>
          <t>u_dp.u_core.u_skew.g_pairs.g_pair[5].g_next.u_da.pipe[6]</t>
        </is>
      </c>
      <c r="E93" s="2" t="inlineStr">
        <is>
          <t>9</t>
        </is>
      </c>
      <c r="F93" s="2" t="inlineStr">
        <is>
          <t>sa1</t>
        </is>
      </c>
      <c r="G93" s="2" t="inlineStr">
        <is>
          <t>831</t>
        </is>
      </c>
      <c r="H93" s="2" t="inlineStr">
        <is>
          <t>dangerous</t>
        </is>
      </c>
      <c r="I93" s="2" t="inlineStr">
        <is>
          <t>300</t>
        </is>
      </c>
    </row>
    <row r="94">
      <c r="A94" s="2" t="inlineStr">
        <is>
          <t>core</t>
        </is>
      </c>
      <c r="B94" s="2" t="inlineStr"/>
      <c r="C94" s="2" t="inlineStr">
        <is>
          <t>neo_mac_core</t>
        </is>
      </c>
      <c r="D94" s="2" t="inlineStr">
        <is>
          <t>u_dp.u_core.u_skew.g_pairs.g_pair[5].g_next.u_da.pipe[6]</t>
        </is>
      </c>
      <c r="E94" s="2" t="inlineStr">
        <is>
          <t>8</t>
        </is>
      </c>
      <c r="F94" s="2" t="inlineStr">
        <is>
          <t>flip</t>
        </is>
      </c>
      <c r="G94" s="2" t="inlineStr">
        <is>
          <t>705</t>
        </is>
      </c>
      <c r="H94" s="2" t="inlineStr">
        <is>
          <t>dangerous</t>
        </is>
      </c>
      <c r="I94" s="2" t="inlineStr">
        <is>
          <t>7</t>
        </is>
      </c>
    </row>
    <row r="95">
      <c r="A95" s="2" t="inlineStr">
        <is>
          <t>core</t>
        </is>
      </c>
      <c r="B95" s="2" t="inlineStr"/>
      <c r="C95" s="2" t="inlineStr">
        <is>
          <t>neo_mac_core</t>
        </is>
      </c>
      <c r="D95" s="2" t="inlineStr">
        <is>
          <t>u_dp.u_core.u_skew.g_pairs.g_pair[6].g_next.u_da.pipe[0]</t>
        </is>
      </c>
      <c r="E95" s="2" t="inlineStr">
        <is>
          <t>15</t>
        </is>
      </c>
      <c r="F95" s="2" t="inlineStr">
        <is>
          <t>sa1</t>
        </is>
      </c>
      <c r="G95" s="2" t="inlineStr">
        <is>
          <t>509</t>
        </is>
      </c>
      <c r="H95" s="2" t="inlineStr">
        <is>
          <t>dangerous</t>
        </is>
      </c>
      <c r="I95" s="2" t="inlineStr">
        <is>
          <t>494</t>
        </is>
      </c>
    </row>
    <row r="96">
      <c r="A96" s="2" t="inlineStr">
        <is>
          <t>core</t>
        </is>
      </c>
      <c r="B96" s="2" t="inlineStr"/>
      <c r="C96" s="2" t="inlineStr">
        <is>
          <t>neo_mac_core</t>
        </is>
      </c>
      <c r="D96" s="2" t="inlineStr">
        <is>
          <t>u_dp.u_core.u_skew.g_pairs.g_pair[6].g_next.u_da.pipe[0]</t>
        </is>
      </c>
      <c r="E96" s="2" t="inlineStr">
        <is>
          <t>10</t>
        </is>
      </c>
      <c r="F96" s="2" t="inlineStr">
        <is>
          <t>flip</t>
        </is>
      </c>
      <c r="G96" s="2" t="inlineStr">
        <is>
          <t>535</t>
        </is>
      </c>
      <c r="H96" s="2" t="inlineStr">
        <is>
          <t>dangerous</t>
        </is>
      </c>
      <c r="I96" s="2" t="inlineStr">
        <is>
          <t>7</t>
        </is>
      </c>
    </row>
    <row r="97">
      <c r="A97" s="2" t="inlineStr">
        <is>
          <t>core</t>
        </is>
      </c>
      <c r="B97" s="2" t="inlineStr"/>
      <c r="C97" s="2" t="inlineStr">
        <is>
          <t>neo_mac_core</t>
        </is>
      </c>
      <c r="D97" s="2" t="inlineStr">
        <is>
          <t>u_dp.u_core.u_skew.g_pairs.g_pair[6].g_next.u_da.pipe[10]</t>
        </is>
      </c>
      <c r="E97" s="2" t="inlineStr">
        <is>
          <t>9</t>
        </is>
      </c>
      <c r="F97" s="2" t="inlineStr">
        <is>
          <t>flip</t>
        </is>
      </c>
      <c r="G97" s="2" t="inlineStr">
        <is>
          <t>581</t>
        </is>
      </c>
      <c r="H97" s="2" t="inlineStr">
        <is>
          <t>dangerous</t>
        </is>
      </c>
      <c r="I97" s="2" t="inlineStr">
        <is>
          <t>7</t>
        </is>
      </c>
    </row>
    <row r="98">
      <c r="A98" s="2" t="inlineStr">
        <is>
          <t>core</t>
        </is>
      </c>
      <c r="B98" s="2" t="inlineStr"/>
      <c r="C98" s="2" t="inlineStr">
        <is>
          <t>neo_mac_core</t>
        </is>
      </c>
      <c r="D98" s="2" t="inlineStr">
        <is>
          <t>u_dp.u_core.u_skew.g_pairs.g_pair[6].g_next.u_da.pipe[11]</t>
        </is>
      </c>
      <c r="E98" s="2" t="inlineStr">
        <is>
          <t>0</t>
        </is>
      </c>
      <c r="F98" s="2" t="inlineStr">
        <is>
          <t>sa0</t>
        </is>
      </c>
      <c r="G98" s="2" t="inlineStr">
        <is>
          <t>653</t>
        </is>
      </c>
      <c r="H98" s="2" t="inlineStr">
        <is>
          <t>dangerous</t>
        </is>
      </c>
      <c r="I98" s="2" t="inlineStr">
        <is>
          <t>261</t>
        </is>
      </c>
    </row>
    <row r="99">
      <c r="A99" s="2" t="inlineStr">
        <is>
          <t>core</t>
        </is>
      </c>
      <c r="B99" s="2" t="inlineStr"/>
      <c r="C99" s="2" t="inlineStr">
        <is>
          <t>neo_mac_core</t>
        </is>
      </c>
      <c r="D99" s="2" t="inlineStr">
        <is>
          <t>u_dp.u_core.u_skew.g_pairs.g_pair[6].g_next.u_da.pipe[12]</t>
        </is>
      </c>
      <c r="E99" s="2" t="inlineStr">
        <is>
          <t>10</t>
        </is>
      </c>
      <c r="F99" s="2" t="inlineStr">
        <is>
          <t>sa0</t>
        </is>
      </c>
      <c r="G99" s="2" t="inlineStr">
        <is>
          <t>461</t>
        </is>
      </c>
      <c r="H99" s="2" t="inlineStr">
        <is>
          <t>dangerous</t>
        </is>
      </c>
      <c r="I99" s="2" t="inlineStr">
        <is>
          <t>300</t>
        </is>
      </c>
    </row>
    <row r="100">
      <c r="A100" s="2" t="inlineStr">
        <is>
          <t>core</t>
        </is>
      </c>
      <c r="B100" s="2" t="inlineStr"/>
      <c r="C100" s="2" t="inlineStr">
        <is>
          <t>neo_mac_core</t>
        </is>
      </c>
      <c r="D100" s="2" t="inlineStr">
        <is>
          <t>u_dp.u_core.u_skew.g_pairs.g_pair[6].g_next.u_da.pipe[12]</t>
        </is>
      </c>
      <c r="E100" s="2" t="inlineStr">
        <is>
          <t>5</t>
        </is>
      </c>
      <c r="F100" s="2" t="inlineStr">
        <is>
          <t>sa0</t>
        </is>
      </c>
      <c r="G100" s="2" t="inlineStr">
        <is>
          <t>817</t>
        </is>
      </c>
      <c r="H100" s="2" t="inlineStr">
        <is>
          <t>dangerous</t>
        </is>
      </c>
      <c r="I100" s="2" t="inlineStr">
        <is>
          <t>382</t>
        </is>
      </c>
    </row>
    <row r="101">
      <c r="A101" s="2" t="inlineStr">
        <is>
          <t>core</t>
        </is>
      </c>
      <c r="B101" s="2" t="inlineStr"/>
      <c r="C101" s="2" t="inlineStr">
        <is>
          <t>neo_mac_core</t>
        </is>
      </c>
      <c r="D101" s="2" t="inlineStr">
        <is>
          <t>u_dp.u_core.u_skew.g_pairs.g_pair[6].g_next.u_da.pipe[15]</t>
        </is>
      </c>
      <c r="E101" s="2" t="inlineStr">
        <is>
          <t>11</t>
        </is>
      </c>
      <c r="F101" s="2" t="inlineStr">
        <is>
          <t>sa0</t>
        </is>
      </c>
      <c r="G101" s="2" t="inlineStr">
        <is>
          <t>643</t>
        </is>
      </c>
      <c r="H101" s="2" t="inlineStr">
        <is>
          <t>dangerous</t>
        </is>
      </c>
      <c r="I101" s="2" t="inlineStr">
        <is>
          <t>326</t>
        </is>
      </c>
    </row>
    <row r="102">
      <c r="A102" s="2" t="inlineStr">
        <is>
          <t>core</t>
        </is>
      </c>
      <c r="B102" s="2" t="inlineStr"/>
      <c r="C102" s="2" t="inlineStr">
        <is>
          <t>neo_mac_core</t>
        </is>
      </c>
      <c r="D102" s="2" t="inlineStr">
        <is>
          <t>u_dp.u_core.u_skew.g_pairs.g_pair[6].g_next.u_da.pipe[16]</t>
        </is>
      </c>
      <c r="E102" s="2" t="inlineStr">
        <is>
          <t>3</t>
        </is>
      </c>
      <c r="F102" s="2" t="inlineStr">
        <is>
          <t>sa1</t>
        </is>
      </c>
      <c r="G102" s="2" t="inlineStr">
        <is>
          <t>645</t>
        </is>
      </c>
      <c r="H102" s="2" t="inlineStr">
        <is>
          <t>dangerous</t>
        </is>
      </c>
      <c r="I102" s="2" t="inlineStr">
        <is>
          <t>363</t>
        </is>
      </c>
    </row>
    <row r="103">
      <c r="A103" s="2" t="inlineStr">
        <is>
          <t>core</t>
        </is>
      </c>
      <c r="B103" s="2" t="inlineStr"/>
      <c r="C103" s="2" t="inlineStr">
        <is>
          <t>neo_mac_core</t>
        </is>
      </c>
      <c r="D103" s="2" t="inlineStr">
        <is>
          <t>u_dp.u_core.u_skew.g_pairs.g_pair[6].g_next.u_da.pipe[16]</t>
        </is>
      </c>
      <c r="E103" s="2" t="inlineStr">
        <is>
          <t>10</t>
        </is>
      </c>
      <c r="F103" s="2" t="inlineStr">
        <is>
          <t>flip</t>
        </is>
      </c>
      <c r="G103" s="2" t="inlineStr">
        <is>
          <t>1085</t>
        </is>
      </c>
      <c r="H103" s="2" t="inlineStr">
        <is>
          <t>dangerous</t>
        </is>
      </c>
      <c r="I103" s="2" t="inlineStr">
        <is>
          <t>7</t>
        </is>
      </c>
    </row>
    <row r="104">
      <c r="A104" s="2" t="inlineStr">
        <is>
          <t>core</t>
        </is>
      </c>
      <c r="B104" s="2" t="inlineStr"/>
      <c r="C104" s="2" t="inlineStr">
        <is>
          <t>neo_mac_core</t>
        </is>
      </c>
      <c r="D104" s="2" t="inlineStr">
        <is>
          <t>u_dp.u_core.u_skew.g_pairs.g_pair[6].g_next.u_da.pipe[17]</t>
        </is>
      </c>
      <c r="E104" s="2" t="inlineStr">
        <is>
          <t>9</t>
        </is>
      </c>
      <c r="F104" s="2" t="inlineStr">
        <is>
          <t>sa1</t>
        </is>
      </c>
      <c r="G104" s="2" t="inlineStr">
        <is>
          <t>901</t>
        </is>
      </c>
      <c r="H104" s="2" t="inlineStr">
        <is>
          <t>dangerous</t>
        </is>
      </c>
      <c r="I104" s="2" t="inlineStr">
        <is>
          <t>249</t>
        </is>
      </c>
    </row>
    <row r="105">
      <c r="A105" s="2" t="inlineStr">
        <is>
          <t>core</t>
        </is>
      </c>
      <c r="B105" s="2" t="inlineStr"/>
      <c r="C105" s="2" t="inlineStr">
        <is>
          <t>neo_mac_core</t>
        </is>
      </c>
      <c r="D105" s="2" t="inlineStr">
        <is>
          <t>u_dp.u_core.u_skew.g_pairs.g_pair[6].g_next.u_da.pipe[20]</t>
        </is>
      </c>
      <c r="E105" s="2" t="inlineStr">
        <is>
          <t>5</t>
        </is>
      </c>
      <c r="F105" s="2" t="inlineStr">
        <is>
          <t>sa1</t>
        </is>
      </c>
      <c r="G105" s="2" t="inlineStr">
        <is>
          <t>785</t>
        </is>
      </c>
      <c r="H105" s="2" t="inlineStr">
        <is>
          <t>dangerous</t>
        </is>
      </c>
      <c r="I105" s="2" t="inlineStr">
        <is>
          <t>463</t>
        </is>
      </c>
    </row>
    <row r="106">
      <c r="A106" s="2" t="inlineStr">
        <is>
          <t>core</t>
        </is>
      </c>
      <c r="B106" s="2" t="inlineStr"/>
      <c r="C106" s="2" t="inlineStr">
        <is>
          <t>neo_mac_core</t>
        </is>
      </c>
      <c r="D106" s="2" t="inlineStr">
        <is>
          <t>u_dp.u_core.u_skew.g_pairs.g_pair[6].g_next.u_da.pipe[4]</t>
        </is>
      </c>
      <c r="E106" s="2" t="inlineStr">
        <is>
          <t>13</t>
        </is>
      </c>
      <c r="F106" s="2" t="inlineStr">
        <is>
          <t>flip</t>
        </is>
      </c>
      <c r="G106" s="2" t="inlineStr">
        <is>
          <t>1045</t>
        </is>
      </c>
      <c r="H106" s="2" t="inlineStr">
        <is>
          <t>dangerous</t>
        </is>
      </c>
      <c r="I106" s="2" t="inlineStr">
        <is>
          <t>10</t>
        </is>
      </c>
    </row>
    <row r="107">
      <c r="A107" s="2" t="inlineStr">
        <is>
          <t>core</t>
        </is>
      </c>
      <c r="B107" s="2" t="inlineStr"/>
      <c r="C107" s="2" t="inlineStr">
        <is>
          <t>neo_mac_core</t>
        </is>
      </c>
      <c r="D107" s="2" t="inlineStr">
        <is>
          <t>u_dp.u_core.u_skew.g_pairs.g_pair[6].g_next.u_da.pipe[5]</t>
        </is>
      </c>
      <c r="E107" s="2" t="inlineStr">
        <is>
          <t>0</t>
        </is>
      </c>
      <c r="F107" s="2" t="inlineStr">
        <is>
          <t>sa1</t>
        </is>
      </c>
      <c r="G107" s="2" t="inlineStr">
        <is>
          <t>395</t>
        </is>
      </c>
      <c r="H107" s="2" t="inlineStr">
        <is>
          <t>dangerous</t>
        </is>
      </c>
      <c r="I107" s="2" t="inlineStr">
        <is>
          <t>271</t>
        </is>
      </c>
    </row>
    <row r="108">
      <c r="A108" s="2" t="inlineStr">
        <is>
          <t>core</t>
        </is>
      </c>
      <c r="B108" s="2" t="inlineStr"/>
      <c r="C108" s="2" t="inlineStr">
        <is>
          <t>neo_mac_core</t>
        </is>
      </c>
      <c r="D108" s="2" t="inlineStr">
        <is>
          <t>u_dp.u_core.u_skew.g_pairs.g_pair[6].g_next.u_da.pipe[8]</t>
        </is>
      </c>
      <c r="E108" s="2" t="inlineStr">
        <is>
          <t>14</t>
        </is>
      </c>
      <c r="F108" s="2" t="inlineStr">
        <is>
          <t>flip</t>
        </is>
      </c>
      <c r="G108" s="2" t="inlineStr">
        <is>
          <t>1080</t>
        </is>
      </c>
      <c r="H108" s="2" t="inlineStr">
        <is>
          <t>dangerous</t>
        </is>
      </c>
      <c r="I108" s="2" t="inlineStr">
        <is>
          <t>11</t>
        </is>
      </c>
    </row>
    <row r="109">
      <c r="A109" s="2" t="inlineStr">
        <is>
          <t>core</t>
        </is>
      </c>
      <c r="B109" s="2" t="inlineStr"/>
      <c r="C109" s="2" t="inlineStr">
        <is>
          <t>neo_mac_core</t>
        </is>
      </c>
      <c r="D109" s="2" t="inlineStr">
        <is>
          <t>u_dp.u_core.u_skew.g_pairs.g_pair[7].g_next.r_even</t>
        </is>
      </c>
      <c r="E109" s="2" t="inlineStr">
        <is>
          <t>3</t>
        </is>
      </c>
      <c r="F109" s="2" t="inlineStr">
        <is>
          <t>flip</t>
        </is>
      </c>
      <c r="G109" s="2" t="inlineStr">
        <is>
          <t>913</t>
        </is>
      </c>
      <c r="H109" s="2" t="inlineStr">
        <is>
          <t>dangerous</t>
        </is>
      </c>
      <c r="I109" s="2" t="inlineStr">
        <is>
          <t>10</t>
        </is>
      </c>
    </row>
    <row r="110">
      <c r="A110" s="2" t="inlineStr">
        <is>
          <t>core</t>
        </is>
      </c>
      <c r="B110" s="2" t="inlineStr"/>
      <c r="C110" s="2" t="inlineStr">
        <is>
          <t>neo_mac_core</t>
        </is>
      </c>
      <c r="D110" s="2" t="inlineStr">
        <is>
          <t>u_dp.u_core.u_skew.g_pairs.g_pair[7].g_next.u_da.pipe[12]</t>
        </is>
      </c>
      <c r="E110" s="2" t="inlineStr">
        <is>
          <t>3</t>
        </is>
      </c>
      <c r="F110" s="2" t="inlineStr">
        <is>
          <t>flip</t>
        </is>
      </c>
      <c r="G110" s="2" t="inlineStr">
        <is>
          <t>107</t>
        </is>
      </c>
      <c r="H110" s="2" t="inlineStr">
        <is>
          <t>dangerous</t>
        </is>
      </c>
      <c r="I110" s="2" t="inlineStr">
        <is>
          <t>10</t>
        </is>
      </c>
    </row>
    <row r="111">
      <c r="A111" s="2" t="inlineStr">
        <is>
          <t>core</t>
        </is>
      </c>
      <c r="B111" s="2" t="inlineStr"/>
      <c r="C111" s="2" t="inlineStr">
        <is>
          <t>neo_mac_core</t>
        </is>
      </c>
      <c r="D111" s="2" t="inlineStr">
        <is>
          <t>u_dp.u_core.u_skew.g_pairs.g_pair[7].g_next.u_da.pipe[13]</t>
        </is>
      </c>
      <c r="E111" s="2" t="inlineStr">
        <is>
          <t>1</t>
        </is>
      </c>
      <c r="F111" s="2" t="inlineStr">
        <is>
          <t>flip</t>
        </is>
      </c>
      <c r="G111" s="2" t="inlineStr">
        <is>
          <t>999</t>
        </is>
      </c>
      <c r="H111" s="2" t="inlineStr">
        <is>
          <t>dangerous</t>
        </is>
      </c>
      <c r="I111" s="2" t="inlineStr">
        <is>
          <t>7</t>
        </is>
      </c>
    </row>
    <row r="112">
      <c r="A112" s="2" t="inlineStr">
        <is>
          <t>core</t>
        </is>
      </c>
      <c r="B112" s="2" t="inlineStr"/>
      <c r="C112" s="2" t="inlineStr">
        <is>
          <t>neo_mac_core</t>
        </is>
      </c>
      <c r="D112" s="2" t="inlineStr">
        <is>
          <t>u_dp.u_core.u_skew.g_pairs.g_pair[7].g_next.u_da.pipe[14]</t>
        </is>
      </c>
      <c r="E112" s="2" t="inlineStr">
        <is>
          <t>11</t>
        </is>
      </c>
      <c r="F112" s="2" t="inlineStr">
        <is>
          <t>sa0</t>
        </is>
      </c>
      <c r="G112" s="2" t="inlineStr">
        <is>
          <t>187</t>
        </is>
      </c>
      <c r="H112" s="2" t="inlineStr">
        <is>
          <t>dangerous</t>
        </is>
      </c>
      <c r="I112" s="2" t="inlineStr">
        <is>
          <t>366</t>
        </is>
      </c>
    </row>
    <row r="113">
      <c r="A113" s="2" t="inlineStr">
        <is>
          <t>core</t>
        </is>
      </c>
      <c r="B113" s="2" t="inlineStr"/>
      <c r="C113" s="2" t="inlineStr">
        <is>
          <t>neo_mac_core</t>
        </is>
      </c>
      <c r="D113" s="2" t="inlineStr">
        <is>
          <t>u_dp.u_core.u_skew.g_pairs.g_pair[7].g_next.u_da.pipe[1]</t>
        </is>
      </c>
      <c r="E113" s="2" t="inlineStr">
        <is>
          <t>12</t>
        </is>
      </c>
      <c r="F113" s="2" t="inlineStr">
        <is>
          <t>sa0</t>
        </is>
      </c>
      <c r="G113" s="2" t="inlineStr">
        <is>
          <t>646</t>
        </is>
      </c>
      <c r="H113" s="2" t="inlineStr">
        <is>
          <t>dangerous</t>
        </is>
      </c>
      <c r="I113" s="2" t="inlineStr">
        <is>
          <t>403</t>
        </is>
      </c>
    </row>
    <row r="114">
      <c r="A114" s="2" t="inlineStr">
        <is>
          <t>core</t>
        </is>
      </c>
      <c r="B114" s="2" t="inlineStr"/>
      <c r="C114" s="2" t="inlineStr">
        <is>
          <t>neo_mac_core</t>
        </is>
      </c>
      <c r="D114" s="2" t="inlineStr">
        <is>
          <t>u_dp.u_core.u_skew.g_pairs.g_pair[7].g_next.u_da.pipe[21]</t>
        </is>
      </c>
      <c r="E114" s="2" t="inlineStr">
        <is>
          <t>15</t>
        </is>
      </c>
      <c r="F114" s="2" t="inlineStr">
        <is>
          <t>sa0</t>
        </is>
      </c>
      <c r="G114" s="2" t="inlineStr">
        <is>
          <t>741</t>
        </is>
      </c>
      <c r="H114" s="2" t="inlineStr">
        <is>
          <t>dangerous</t>
        </is>
      </c>
      <c r="I114" s="2" t="inlineStr">
        <is>
          <t>476</t>
        </is>
      </c>
    </row>
    <row r="115">
      <c r="A115" s="2" t="inlineStr">
        <is>
          <t>core</t>
        </is>
      </c>
      <c r="B115" s="2" t="inlineStr"/>
      <c r="C115" s="2" t="inlineStr">
        <is>
          <t>neo_mac_core</t>
        </is>
      </c>
      <c r="D115" s="2" t="inlineStr">
        <is>
          <t>u_dp.u_core.u_skew.g_pairs.g_pair[7].g_next.u_da.pipe[21]</t>
        </is>
      </c>
      <c r="E115" s="2" t="inlineStr">
        <is>
          <t>7</t>
        </is>
      </c>
      <c r="F115" s="2" t="inlineStr">
        <is>
          <t>sa1</t>
        </is>
      </c>
      <c r="G115" s="2" t="inlineStr">
        <is>
          <t>57</t>
        </is>
      </c>
      <c r="H115" s="2" t="inlineStr">
        <is>
          <t>dangerous</t>
        </is>
      </c>
      <c r="I115" s="2" t="inlineStr">
        <is>
          <t>497</t>
        </is>
      </c>
    </row>
    <row r="116">
      <c r="A116" s="2" t="inlineStr">
        <is>
          <t>core</t>
        </is>
      </c>
      <c r="B116" s="2" t="inlineStr"/>
      <c r="C116" s="2" t="inlineStr">
        <is>
          <t>neo_mac_core</t>
        </is>
      </c>
      <c r="D116" s="2" t="inlineStr">
        <is>
          <t>u_dp.u_core.u_skew.g_pairs.g_pair[7].g_next.u_da.pipe[25]</t>
        </is>
      </c>
      <c r="E116" s="2" t="inlineStr">
        <is>
          <t>3</t>
        </is>
      </c>
      <c r="F116" s="2" t="inlineStr">
        <is>
          <t>sa1</t>
        </is>
      </c>
      <c r="G116" s="2" t="inlineStr">
        <is>
          <t>683</t>
        </is>
      </c>
      <c r="H116" s="2" t="inlineStr">
        <is>
          <t>dangerous</t>
        </is>
      </c>
      <c r="I116" s="2" t="inlineStr">
        <is>
          <t>341</t>
        </is>
      </c>
    </row>
    <row r="117">
      <c r="A117" s="2" t="inlineStr">
        <is>
          <t>core</t>
        </is>
      </c>
      <c r="B117" s="2" t="inlineStr"/>
      <c r="C117" s="2" t="inlineStr">
        <is>
          <t>neo_mac_core</t>
        </is>
      </c>
      <c r="D117" s="2" t="inlineStr">
        <is>
          <t>u_dp.u_core.u_skew.g_pairs.g_pair[7].g_next.u_da.pipe[2]</t>
        </is>
      </c>
      <c r="E117" s="2" t="inlineStr">
        <is>
          <t>1</t>
        </is>
      </c>
      <c r="F117" s="2" t="inlineStr">
        <is>
          <t>sa0</t>
        </is>
      </c>
      <c r="G117" s="2" t="inlineStr">
        <is>
          <t>630</t>
        </is>
      </c>
      <c r="H117" s="2" t="inlineStr">
        <is>
          <t>dangerous</t>
        </is>
      </c>
      <c r="I117" s="2" t="inlineStr">
        <is>
          <t>272</t>
        </is>
      </c>
    </row>
    <row r="118">
      <c r="A118" s="2" t="inlineStr">
        <is>
          <t>core</t>
        </is>
      </c>
      <c r="B118" s="2" t="inlineStr"/>
      <c r="C118" s="2" t="inlineStr">
        <is>
          <t>neo_mac_core</t>
        </is>
      </c>
      <c r="D118" s="2" t="inlineStr">
        <is>
          <t>u_dp.u_core.u_skew.g_pairs.g_pair[7].g_next.u_da.pipe[8]</t>
        </is>
      </c>
      <c r="E118" s="2" t="inlineStr">
        <is>
          <t>6</t>
        </is>
      </c>
      <c r="F118" s="2" t="inlineStr">
        <is>
          <t>sa1</t>
        </is>
      </c>
      <c r="G118" s="2" t="inlineStr">
        <is>
          <t>38</t>
        </is>
      </c>
      <c r="H118" s="2" t="inlineStr">
        <is>
          <t>dangerous</t>
        </is>
      </c>
      <c r="I118" s="2" t="inlineStr">
        <is>
          <t>490</t>
        </is>
      </c>
    </row>
    <row r="119">
      <c r="A119" s="2" t="inlineStr">
        <is>
          <t>core</t>
        </is>
      </c>
      <c r="B119" s="2" t="inlineStr"/>
      <c r="C119" s="2" t="inlineStr">
        <is>
          <t>neo_mac_core</t>
        </is>
      </c>
      <c r="D119" s="2" t="inlineStr">
        <is>
          <t>u_dp.u_core.u_skew.g_pairs.g_pair[7].g_next.u_da.pipe[9]</t>
        </is>
      </c>
      <c r="E119" s="2" t="inlineStr">
        <is>
          <t>7</t>
        </is>
      </c>
      <c r="F119" s="2" t="inlineStr">
        <is>
          <t>sa1</t>
        </is>
      </c>
      <c r="G119" s="2" t="inlineStr">
        <is>
          <t>530</t>
        </is>
      </c>
      <c r="H119" s="2" t="inlineStr">
        <is>
          <t>dangerous</t>
        </is>
      </c>
      <c r="I119" s="2" t="inlineStr">
        <is>
          <t>493</t>
        </is>
      </c>
    </row>
    <row r="120">
      <c r="A120" s="2" t="inlineStr">
        <is>
          <t>core</t>
        </is>
      </c>
      <c r="B120" s="2" t="inlineStr"/>
      <c r="C120" s="2" t="inlineStr">
        <is>
          <t>neo_mac_core</t>
        </is>
      </c>
      <c r="D120" s="2" t="inlineStr">
        <is>
          <t>u_dp.u_core.u_skew.g_pairs.g_pair[7].g_next.u_da.pipe[9]</t>
        </is>
      </c>
      <c r="E120" s="2" t="inlineStr">
        <is>
          <t>14</t>
        </is>
      </c>
      <c r="F120" s="2" t="inlineStr">
        <is>
          <t>flip</t>
        </is>
      </c>
      <c r="G120" s="2" t="inlineStr">
        <is>
          <t>113</t>
        </is>
      </c>
      <c r="H120" s="2" t="inlineStr">
        <is>
          <t>dangerous</t>
        </is>
      </c>
      <c r="I120" s="2" t="inlineStr">
        <is>
          <t>12</t>
        </is>
      </c>
    </row>
    <row r="121">
      <c r="A121" s="2" t="inlineStr">
        <is>
          <t>core</t>
        </is>
      </c>
      <c r="B121" s="2" t="inlineStr"/>
      <c r="C121" s="2" t="inlineStr">
        <is>
          <t>neo_mac_core</t>
        </is>
      </c>
      <c r="D121" s="2" t="inlineStr">
        <is>
          <t>u_dp.u_core.u_skew.g_pairs.g_pair[7].g_next.u_db.pipe[0]</t>
        </is>
      </c>
      <c r="E121" s="2" t="inlineStr">
        <is>
          <t>13</t>
        </is>
      </c>
      <c r="F121" s="2" t="inlineStr">
        <is>
          <t>flip</t>
        </is>
      </c>
      <c r="G121" s="2" t="inlineStr">
        <is>
          <t>1011</t>
        </is>
      </c>
      <c r="H121" s="2" t="inlineStr">
        <is>
          <t>dangerous</t>
        </is>
      </c>
      <c r="I121" s="2" t="inlineStr">
        <is>
          <t>13</t>
        </is>
      </c>
    </row>
    <row r="122">
      <c r="A122" s="2" t="inlineStr">
        <is>
          <t>core</t>
        </is>
      </c>
      <c r="B122" s="2" t="inlineStr"/>
      <c r="C122" s="2" t="inlineStr">
        <is>
          <t>neo_mac_core</t>
        </is>
      </c>
      <c r="D122" s="2" t="inlineStr">
        <is>
          <t>u_dp.u_core.u_skew.g_pairs.g_pair[7].st1</t>
        </is>
      </c>
      <c r="E122" s="2" t="inlineStr">
        <is>
          <t>13</t>
        </is>
      </c>
      <c r="F122" s="2" t="inlineStr">
        <is>
          <t>flip</t>
        </is>
      </c>
      <c r="G122" s="2" t="inlineStr">
        <is>
          <t>1050</t>
        </is>
      </c>
      <c r="H122" s="2" t="inlineStr">
        <is>
          <t>dangerous</t>
        </is>
      </c>
      <c r="I122" s="2" t="inlineStr">
        <is>
          <t>12</t>
        </is>
      </c>
    </row>
    <row r="123">
      <c r="A123" s="2" t="inlineStr">
        <is>
          <t>core</t>
        </is>
      </c>
      <c r="B123" s="2" t="inlineStr"/>
      <c r="C123" s="2" t="inlineStr">
        <is>
          <t>neo_mac_core</t>
        </is>
      </c>
      <c r="D123" s="2" t="inlineStr">
        <is>
          <t>u_dp.u_core.u_skew.g_pairs.g_pair[7].st1</t>
        </is>
      </c>
      <c r="E123" s="2" t="inlineStr">
        <is>
          <t>15</t>
        </is>
      </c>
      <c r="F123" s="2" t="inlineStr">
        <is>
          <t>sa1</t>
        </is>
      </c>
      <c r="G123" s="2" t="inlineStr">
        <is>
          <t>325</t>
        </is>
      </c>
      <c r="H123" s="2" t="inlineStr">
        <is>
          <t>dangerous</t>
        </is>
      </c>
      <c r="I123" s="2" t="inlineStr">
        <is>
          <t>496</t>
        </is>
      </c>
    </row>
    <row r="124">
      <c r="A124" s="2" t="inlineStr">
        <is>
          <t>core</t>
        </is>
      </c>
      <c r="B124" s="2" t="inlineStr"/>
      <c r="C124" s="2" t="inlineStr">
        <is>
          <t>neo_mac_core</t>
        </is>
      </c>
      <c r="D124" s="2" t="inlineStr">
        <is>
          <t>u_dp.u_core.u_skew.g_srow[14].g_sn.u_ds.pipe[4]</t>
        </is>
      </c>
      <c r="E124" s="2" t="inlineStr">
        <is>
          <t>0</t>
        </is>
      </c>
      <c r="F124" s="2" t="inlineStr">
        <is>
          <t>sa0</t>
        </is>
      </c>
      <c r="G124" s="2" t="inlineStr">
        <is>
          <t>576</t>
        </is>
      </c>
      <c r="H124" s="2" t="inlineStr">
        <is>
          <t>dangerous</t>
        </is>
      </c>
      <c r="I124" s="2" t="inlineStr">
        <is>
          <t>486</t>
        </is>
      </c>
    </row>
    <row r="125">
      <c r="A125" s="2" t="inlineStr">
        <is>
          <t>core</t>
        </is>
      </c>
      <c r="B125" s="2" t="inlineStr"/>
      <c r="C125" s="2" t="inlineStr">
        <is>
          <t>neo_mac_core</t>
        </is>
      </c>
      <c r="D125" s="2" t="inlineStr">
        <is>
          <t>u_dp.u_core.u_skew.g_srow[15].g_sn.u_ds.pipe[15]</t>
        </is>
      </c>
      <c r="E125" s="2" t="inlineStr">
        <is>
          <t>0</t>
        </is>
      </c>
      <c r="F125" s="2" t="inlineStr">
        <is>
          <t>sa0</t>
        </is>
      </c>
      <c r="G125" s="2" t="inlineStr">
        <is>
          <t>849</t>
        </is>
      </c>
      <c r="H125" s="2" t="inlineStr">
        <is>
          <t>dangerous</t>
        </is>
      </c>
      <c r="I125" s="2" t="inlineStr">
        <is>
          <t>476</t>
        </is>
      </c>
    </row>
    <row r="126">
      <c r="A126" s="2" t="inlineStr">
        <is>
          <t>core</t>
        </is>
      </c>
      <c r="B126" s="2" t="inlineStr"/>
      <c r="C126" s="2" t="inlineStr">
        <is>
          <t>neo_mac_core</t>
        </is>
      </c>
      <c r="D126" s="2" t="inlineStr">
        <is>
          <t>u_dp.u_core.valid_pipe</t>
        </is>
      </c>
      <c r="E126" s="2" t="inlineStr">
        <is>
          <t>2</t>
        </is>
      </c>
      <c r="F126" s="2" t="inlineStr">
        <is>
          <t>flip</t>
        </is>
      </c>
      <c r="G126" s="2" t="inlineStr">
        <is>
          <t>1256</t>
        </is>
      </c>
      <c r="H126" s="2" t="inlineStr">
        <is>
          <t>dangerous</t>
        </is>
      </c>
      <c r="I126" s="2" t="inlineStr">
        <is>
          <t>14</t>
        </is>
      </c>
    </row>
    <row r="127">
      <c r="A127" s="2" t="inlineStr">
        <is>
          <t>core</t>
        </is>
      </c>
      <c r="B127" s="2" t="inlineStr"/>
      <c r="C127" s="2" t="inlineStr">
        <is>
          <t>neo_mac_core_v02</t>
        </is>
      </c>
      <c r="D127" s="2" t="inlineStr">
        <is>
          <t>u_dp.u_first_dl.pipe[23]</t>
        </is>
      </c>
      <c r="E127" s="2" t="inlineStr">
        <is>
          <t>0</t>
        </is>
      </c>
      <c r="F127" s="2" t="inlineStr">
        <is>
          <t>flip</t>
        </is>
      </c>
      <c r="G127" s="2" t="inlineStr">
        <is>
          <t>317</t>
        </is>
      </c>
      <c r="H127" s="2" t="inlineStr">
        <is>
          <t>dangerous</t>
        </is>
      </c>
      <c r="I127" s="2" t="inlineStr">
        <is>
          <t>14</t>
        </is>
      </c>
    </row>
    <row r="128">
      <c r="A128" s="2" t="inlineStr">
        <is>
          <t>core</t>
        </is>
      </c>
      <c r="B128" s="2" t="inlineStr"/>
      <c r="C128" s="2" t="inlineStr">
        <is>
          <t>neo_mac_core_v02</t>
        </is>
      </c>
      <c r="D128" s="2" t="inlineStr">
        <is>
          <t>u_dp.u_first_dl.pipe[25]</t>
        </is>
      </c>
      <c r="E128" s="2" t="inlineStr">
        <is>
          <t>0</t>
        </is>
      </c>
      <c r="F128" s="2" t="inlineStr">
        <is>
          <t>sa1</t>
        </is>
      </c>
      <c r="G128" s="2" t="inlineStr">
        <is>
          <t>33</t>
        </is>
      </c>
      <c r="H128" s="2" t="inlineStr">
        <is>
          <t>dangerous</t>
        </is>
      </c>
      <c r="I128" s="2" t="inlineStr">
        <is>
          <t>501</t>
        </is>
      </c>
    </row>
    <row r="129">
      <c r="A129" s="2" t="inlineStr">
        <is>
          <t>core</t>
        </is>
      </c>
      <c r="B129" s="2" t="inlineStr"/>
      <c r="C129" s="2" t="inlineStr">
        <is>
          <t>neo_mac_core_v02</t>
        </is>
      </c>
      <c r="D129" s="2" t="inlineStr">
        <is>
          <t>u_dp.u_first_dl.pipe[9]</t>
        </is>
      </c>
      <c r="E129" s="2" t="inlineStr">
        <is>
          <t>0</t>
        </is>
      </c>
      <c r="F129" s="2" t="inlineStr">
        <is>
          <t>flip</t>
        </is>
      </c>
      <c r="G129" s="2" t="inlineStr">
        <is>
          <t>1262</t>
        </is>
      </c>
      <c r="H129" s="2" t="inlineStr">
        <is>
          <t>dangerous</t>
        </is>
      </c>
      <c r="I129" s="2" t="inlineStr">
        <is>
          <t>13</t>
        </is>
      </c>
    </row>
    <row r="130">
      <c r="A130" s="2" t="inlineStr">
        <is>
          <t>core</t>
        </is>
      </c>
      <c r="B130" s="2" t="inlineStr"/>
      <c r="C130" s="2" t="inlineStr">
        <is>
          <t>neo_mac_core_v02</t>
        </is>
      </c>
      <c r="D130" s="2" t="inlineStr">
        <is>
          <t>u_dp.u_idx_dl.pipe[0]</t>
        </is>
      </c>
      <c r="E130" s="2" t="inlineStr">
        <is>
          <t>1</t>
        </is>
      </c>
      <c r="F130" s="2" t="inlineStr">
        <is>
          <t>flip</t>
        </is>
      </c>
      <c r="G130" s="2" t="inlineStr">
        <is>
          <t>754</t>
        </is>
      </c>
      <c r="H130" s="2" t="inlineStr">
        <is>
          <t>dangerous</t>
        </is>
      </c>
      <c r="I130" s="2" t="inlineStr">
        <is>
          <t>28</t>
        </is>
      </c>
    </row>
    <row r="131">
      <c r="A131" s="2" t="inlineStr">
        <is>
          <t>core</t>
        </is>
      </c>
      <c r="B131" s="2" t="inlineStr"/>
      <c r="C131" s="2" t="inlineStr">
        <is>
          <t>neo_mac_core_v02</t>
        </is>
      </c>
      <c r="D131" s="2" t="inlineStr">
        <is>
          <t>u_dp.u_idx_dl.pipe[11]</t>
        </is>
      </c>
      <c r="E131" s="2" t="inlineStr">
        <is>
          <t>0</t>
        </is>
      </c>
      <c r="F131" s="2" t="inlineStr">
        <is>
          <t>flip</t>
        </is>
      </c>
      <c r="G131" s="2" t="inlineStr">
        <is>
          <t>827</t>
        </is>
      </c>
      <c r="H131" s="2" t="inlineStr">
        <is>
          <t>dangerous</t>
        </is>
      </c>
      <c r="I131" s="2" t="inlineStr">
        <is>
          <t>28</t>
        </is>
      </c>
    </row>
    <row r="132">
      <c r="A132" s="2" t="inlineStr">
        <is>
          <t>core</t>
        </is>
      </c>
      <c r="B132" s="2" t="inlineStr"/>
      <c r="C132" s="2" t="inlineStr">
        <is>
          <t>neo_mac_core_v02</t>
        </is>
      </c>
      <c r="D132" s="2" t="inlineStr">
        <is>
          <t>u_dp.u_idx_dl.pipe[13]</t>
        </is>
      </c>
      <c r="E132" s="2" t="inlineStr">
        <is>
          <t>5</t>
        </is>
      </c>
      <c r="F132" s="2" t="inlineStr">
        <is>
          <t>sa1</t>
        </is>
      </c>
      <c r="G132" s="2" t="inlineStr">
        <is>
          <t>1103</t>
        </is>
      </c>
      <c r="H132" s="2" t="inlineStr">
        <is>
          <t>dangerous</t>
        </is>
      </c>
      <c r="I132" s="2" t="inlineStr">
        <is>
          <t>498</t>
        </is>
      </c>
    </row>
    <row r="133">
      <c r="A133" s="2" t="inlineStr">
        <is>
          <t>core</t>
        </is>
      </c>
      <c r="B133" s="2" t="inlineStr"/>
      <c r="C133" s="2" t="inlineStr">
        <is>
          <t>neo_mac_core_v02</t>
        </is>
      </c>
      <c r="D133" s="2" t="inlineStr">
        <is>
          <t>u_dp.u_idx_dl.pipe[14]</t>
        </is>
      </c>
      <c r="E133" s="2" t="inlineStr">
        <is>
          <t>1</t>
        </is>
      </c>
      <c r="F133" s="2" t="inlineStr">
        <is>
          <t>sa1</t>
        </is>
      </c>
      <c r="G133" s="2" t="inlineStr">
        <is>
          <t>1093</t>
        </is>
      </c>
      <c r="H133" s="2" t="inlineStr">
        <is>
          <t>dangerous</t>
        </is>
      </c>
      <c r="I133" s="2" t="inlineStr">
        <is>
          <t>500</t>
        </is>
      </c>
    </row>
    <row r="134">
      <c r="A134" s="2" t="inlineStr">
        <is>
          <t>core</t>
        </is>
      </c>
      <c r="B134" s="2" t="inlineStr"/>
      <c r="C134" s="2" t="inlineStr">
        <is>
          <t>neo_mac_core_v02</t>
        </is>
      </c>
      <c r="D134" s="2" t="inlineStr">
        <is>
          <t>u_dp.u_idx_dl.pipe[18]</t>
        </is>
      </c>
      <c r="E134" s="2" t="inlineStr">
        <is>
          <t>0</t>
        </is>
      </c>
      <c r="F134" s="2" t="inlineStr">
        <is>
          <t>sa0</t>
        </is>
      </c>
      <c r="G134" s="2" t="inlineStr">
        <is>
          <t>504</t>
        </is>
      </c>
      <c r="H134" s="2" t="inlineStr">
        <is>
          <t>dangerous</t>
        </is>
      </c>
      <c r="I134" s="2" t="inlineStr">
        <is>
          <t>503</t>
        </is>
      </c>
    </row>
    <row r="135">
      <c r="A135" s="2" t="inlineStr">
        <is>
          <t>core</t>
        </is>
      </c>
      <c r="B135" s="2" t="inlineStr"/>
      <c r="C135" s="2" t="inlineStr">
        <is>
          <t>neo_mac_core_v02</t>
        </is>
      </c>
      <c r="D135" s="2" t="inlineStr">
        <is>
          <t>u_dp.u_idx_dl.pipe[19]</t>
        </is>
      </c>
      <c r="E135" s="2" t="inlineStr">
        <is>
          <t>5</t>
        </is>
      </c>
      <c r="F135" s="2" t="inlineStr">
        <is>
          <t>flip</t>
        </is>
      </c>
      <c r="G135" s="2" t="inlineStr">
        <is>
          <t>488</t>
        </is>
      </c>
      <c r="H135" s="2" t="inlineStr">
        <is>
          <t>dangerous</t>
        </is>
      </c>
      <c r="I135" s="2" t="inlineStr">
        <is>
          <t>13</t>
        </is>
      </c>
    </row>
    <row r="136">
      <c r="A136" s="2" t="inlineStr">
        <is>
          <t>core</t>
        </is>
      </c>
      <c r="B136" s="2" t="inlineStr"/>
      <c r="C136" s="2" t="inlineStr">
        <is>
          <t>neo_mac_core_v02</t>
        </is>
      </c>
      <c r="D136" s="2" t="inlineStr">
        <is>
          <t>u_dp.u_idx_dl.pipe[1]</t>
        </is>
      </c>
      <c r="E136" s="2" t="inlineStr">
        <is>
          <t>1</t>
        </is>
      </c>
      <c r="F136" s="2" t="inlineStr">
        <is>
          <t>flip</t>
        </is>
      </c>
      <c r="G136" s="2" t="inlineStr">
        <is>
          <t>832</t>
        </is>
      </c>
      <c r="H136" s="2" t="inlineStr">
        <is>
          <t>dangerous</t>
        </is>
      </c>
      <c r="I136" s="2" t="inlineStr">
        <is>
          <t>28</t>
        </is>
      </c>
    </row>
    <row r="137">
      <c r="A137" s="2" t="inlineStr">
        <is>
          <t>core</t>
        </is>
      </c>
      <c r="B137" s="2" t="inlineStr"/>
      <c r="C137" s="2" t="inlineStr">
        <is>
          <t>neo_mac_core_v02</t>
        </is>
      </c>
      <c r="D137" s="2" t="inlineStr">
        <is>
          <t>u_dp.u_idx_dl.pipe[20]</t>
        </is>
      </c>
      <c r="E137" s="2" t="inlineStr">
        <is>
          <t>0</t>
        </is>
      </c>
      <c r="F137" s="2" t="inlineStr">
        <is>
          <t>sa1</t>
        </is>
      </c>
      <c r="G137" s="2" t="inlineStr">
        <is>
          <t>917</t>
        </is>
      </c>
      <c r="H137" s="2" t="inlineStr">
        <is>
          <t>dangerous</t>
        </is>
      </c>
      <c r="I137" s="2" t="inlineStr">
        <is>
          <t>499</t>
        </is>
      </c>
    </row>
    <row r="138">
      <c r="A138" s="2" t="inlineStr">
        <is>
          <t>core</t>
        </is>
      </c>
      <c r="B138" s="2" t="inlineStr"/>
      <c r="C138" s="2" t="inlineStr">
        <is>
          <t>neo_mac_core_v02</t>
        </is>
      </c>
      <c r="D138" s="2" t="inlineStr">
        <is>
          <t>u_dp.u_idx_dl.pipe[23]</t>
        </is>
      </c>
      <c r="E138" s="2" t="inlineStr">
        <is>
          <t>1</t>
        </is>
      </c>
      <c r="F138" s="2" t="inlineStr">
        <is>
          <t>sa0</t>
        </is>
      </c>
      <c r="G138" s="2" t="inlineStr">
        <is>
          <t>1498</t>
        </is>
      </c>
      <c r="H138" s="2" t="inlineStr">
        <is>
          <t>dangerous</t>
        </is>
      </c>
      <c r="I138" s="2" t="inlineStr">
        <is>
          <t>381</t>
        </is>
      </c>
    </row>
    <row r="139">
      <c r="A139" s="2" t="inlineStr">
        <is>
          <t>core</t>
        </is>
      </c>
      <c r="B139" s="2" t="inlineStr"/>
      <c r="C139" s="2" t="inlineStr">
        <is>
          <t>neo_mac_core_v02</t>
        </is>
      </c>
      <c r="D139" s="2" t="inlineStr">
        <is>
          <t>u_dp.u_idx_dl.pipe[23]</t>
        </is>
      </c>
      <c r="E139" s="2" t="inlineStr">
        <is>
          <t>3</t>
        </is>
      </c>
      <c r="F139" s="2" t="inlineStr">
        <is>
          <t>sa1</t>
        </is>
      </c>
      <c r="G139" s="2" t="inlineStr">
        <is>
          <t>557</t>
        </is>
      </c>
      <c r="H139" s="2" t="inlineStr">
        <is>
          <t>dangerous</t>
        </is>
      </c>
      <c r="I139" s="2" t="inlineStr">
        <is>
          <t>502</t>
        </is>
      </c>
    </row>
    <row r="140">
      <c r="A140" s="2" t="inlineStr">
        <is>
          <t>core</t>
        </is>
      </c>
      <c r="B140" s="2" t="inlineStr"/>
      <c r="C140" s="2" t="inlineStr">
        <is>
          <t>neo_mac_core_v02</t>
        </is>
      </c>
      <c r="D140" s="2" t="inlineStr">
        <is>
          <t>u_dp.u_idx_dl.pipe[24]</t>
        </is>
      </c>
      <c r="E140" s="2" t="inlineStr">
        <is>
          <t>0</t>
        </is>
      </c>
      <c r="F140" s="2" t="inlineStr">
        <is>
          <t>flip</t>
        </is>
      </c>
      <c r="G140" s="2" t="inlineStr">
        <is>
          <t>531</t>
        </is>
      </c>
      <c r="H140" s="2" t="inlineStr">
        <is>
          <t>dangerous</t>
        </is>
      </c>
      <c r="I140" s="2" t="inlineStr">
        <is>
          <t>28</t>
        </is>
      </c>
    </row>
    <row r="141">
      <c r="A141" s="2" t="inlineStr">
        <is>
          <t>core</t>
        </is>
      </c>
      <c r="B141" s="2" t="inlineStr"/>
      <c r="C141" s="2" t="inlineStr">
        <is>
          <t>neo_mac_core_v02</t>
        </is>
      </c>
      <c r="D141" s="2" t="inlineStr">
        <is>
          <t>u_dp.u_idx_dl.pipe[24]</t>
        </is>
      </c>
      <c r="E141" s="2" t="inlineStr">
        <is>
          <t>2</t>
        </is>
      </c>
      <c r="F141" s="2" t="inlineStr">
        <is>
          <t>sa0</t>
        </is>
      </c>
      <c r="G141" s="2" t="inlineStr">
        <is>
          <t>760</t>
        </is>
      </c>
      <c r="H141" s="2" t="inlineStr">
        <is>
          <t>dangerous</t>
        </is>
      </c>
      <c r="I141" s="2" t="inlineStr">
        <is>
          <t>444</t>
        </is>
      </c>
    </row>
    <row r="142">
      <c r="A142" s="2" t="inlineStr">
        <is>
          <t>core</t>
        </is>
      </c>
      <c r="B142" s="2" t="inlineStr"/>
      <c r="C142" s="2" t="inlineStr">
        <is>
          <t>neo_mac_core_v02</t>
        </is>
      </c>
      <c r="D142" s="2" t="inlineStr">
        <is>
          <t>u_dp.u_idx_dl.pipe[27]</t>
        </is>
      </c>
      <c r="E142" s="2" t="inlineStr">
        <is>
          <t>1</t>
        </is>
      </c>
      <c r="F142" s="2" t="inlineStr">
        <is>
          <t>sa0</t>
        </is>
      </c>
      <c r="G142" s="2" t="inlineStr">
        <is>
          <t>144</t>
        </is>
      </c>
      <c r="H142" s="2" t="inlineStr">
        <is>
          <t>dangerous</t>
        </is>
      </c>
      <c r="I142" s="2" t="inlineStr">
        <is>
          <t>500</t>
        </is>
      </c>
    </row>
    <row r="143">
      <c r="A143" s="2" t="inlineStr">
        <is>
          <t>core</t>
        </is>
      </c>
      <c r="B143" s="2" t="inlineStr"/>
      <c r="C143" s="2" t="inlineStr">
        <is>
          <t>neo_mac_core_v02</t>
        </is>
      </c>
      <c r="D143" s="2" t="inlineStr">
        <is>
          <t>u_dp.u_idx_dl.pipe[27]</t>
        </is>
      </c>
      <c r="E143" s="2" t="inlineStr">
        <is>
          <t>4</t>
        </is>
      </c>
      <c r="F143" s="2" t="inlineStr">
        <is>
          <t>sa0</t>
        </is>
      </c>
      <c r="G143" s="2" t="inlineStr">
        <is>
          <t>1447</t>
        </is>
      </c>
      <c r="H143" s="2" t="inlineStr">
        <is>
          <t>dangerous</t>
        </is>
      </c>
      <c r="I143" s="2" t="inlineStr">
        <is>
          <t>436</t>
        </is>
      </c>
    </row>
    <row r="144">
      <c r="A144" s="2" t="inlineStr">
        <is>
          <t>core</t>
        </is>
      </c>
      <c r="B144" s="2" t="inlineStr"/>
      <c r="C144" s="2" t="inlineStr">
        <is>
          <t>neo_mac_core_v02</t>
        </is>
      </c>
      <c r="D144" s="2" t="inlineStr">
        <is>
          <t>u_dp.u_idx_dl.pipe[28]</t>
        </is>
      </c>
      <c r="E144" s="2" t="inlineStr">
        <is>
          <t>1</t>
        </is>
      </c>
      <c r="F144" s="2" t="inlineStr">
        <is>
          <t>sa0</t>
        </is>
      </c>
      <c r="G144" s="2" t="inlineStr">
        <is>
          <t>286</t>
        </is>
      </c>
      <c r="H144" s="2" t="inlineStr">
        <is>
          <t>dangerous</t>
        </is>
      </c>
      <c r="I144" s="2" t="inlineStr">
        <is>
          <t>502</t>
        </is>
      </c>
    </row>
    <row r="145">
      <c r="A145" s="2" t="inlineStr">
        <is>
          <t>core</t>
        </is>
      </c>
      <c r="B145" s="2" t="inlineStr"/>
      <c r="C145" s="2" t="inlineStr">
        <is>
          <t>neo_mac_core_v02</t>
        </is>
      </c>
      <c r="D145" s="2" t="inlineStr">
        <is>
          <t>u_dp.u_idx_dl.pipe[28]</t>
        </is>
      </c>
      <c r="E145" s="2" t="inlineStr">
        <is>
          <t>4</t>
        </is>
      </c>
      <c r="F145" s="2" t="inlineStr">
        <is>
          <t>flip</t>
        </is>
      </c>
      <c r="G145" s="2" t="inlineStr">
        <is>
          <t>358</t>
        </is>
      </c>
      <c r="H145" s="2" t="inlineStr">
        <is>
          <t>dangerous</t>
        </is>
      </c>
      <c r="I145" s="2" t="inlineStr">
        <is>
          <t>27</t>
        </is>
      </c>
    </row>
    <row r="146">
      <c r="A146" s="2" t="inlineStr">
        <is>
          <t>core</t>
        </is>
      </c>
      <c r="B146" s="2" t="inlineStr"/>
      <c r="C146" s="2" t="inlineStr">
        <is>
          <t>neo_mac_core_v02</t>
        </is>
      </c>
      <c r="D146" s="2" t="inlineStr">
        <is>
          <t>u_dp.u_idx_dl.pipe[29]</t>
        </is>
      </c>
      <c r="E146" s="2" t="inlineStr">
        <is>
          <t>4</t>
        </is>
      </c>
      <c r="F146" s="2" t="inlineStr">
        <is>
          <t>flip</t>
        </is>
      </c>
      <c r="G146" s="2" t="inlineStr">
        <is>
          <t>1028</t>
        </is>
      </c>
      <c r="H146" s="2" t="inlineStr">
        <is>
          <t>dangerous</t>
        </is>
      </c>
      <c r="I146" s="2" t="inlineStr">
        <is>
          <t>28</t>
        </is>
      </c>
    </row>
    <row r="147">
      <c r="A147" s="2" t="inlineStr">
        <is>
          <t>core</t>
        </is>
      </c>
      <c r="B147" s="2" t="inlineStr"/>
      <c r="C147" s="2" t="inlineStr">
        <is>
          <t>neo_mac_core_v02</t>
        </is>
      </c>
      <c r="D147" s="2" t="inlineStr">
        <is>
          <t>u_dp.u_idx_dl.pipe[31]</t>
        </is>
      </c>
      <c r="E147" s="2" t="inlineStr">
        <is>
          <t>2</t>
        </is>
      </c>
      <c r="F147" s="2" t="inlineStr">
        <is>
          <t>sa1</t>
        </is>
      </c>
      <c r="G147" s="2" t="inlineStr">
        <is>
          <t>409</t>
        </is>
      </c>
      <c r="H147" s="2" t="inlineStr">
        <is>
          <t>dangerous</t>
        </is>
      </c>
      <c r="I147" s="2" t="inlineStr">
        <is>
          <t>502</t>
        </is>
      </c>
    </row>
    <row r="148">
      <c r="A148" s="2" t="inlineStr">
        <is>
          <t>core</t>
        </is>
      </c>
      <c r="B148" s="2" t="inlineStr"/>
      <c r="C148" s="2" t="inlineStr">
        <is>
          <t>neo_mac_core_v02</t>
        </is>
      </c>
      <c r="D148" s="2" t="inlineStr">
        <is>
          <t>u_dp.u_idx_dl.pipe[31]</t>
        </is>
      </c>
      <c r="E148" s="2" t="inlineStr">
        <is>
          <t>4</t>
        </is>
      </c>
      <c r="F148" s="2" t="inlineStr">
        <is>
          <t>sa0</t>
        </is>
      </c>
      <c r="G148" s="2" t="inlineStr">
        <is>
          <t>547</t>
        </is>
      </c>
      <c r="H148" s="2" t="inlineStr">
        <is>
          <t>dangerous</t>
        </is>
      </c>
      <c r="I148" s="2" t="inlineStr">
        <is>
          <t>446</t>
        </is>
      </c>
    </row>
    <row r="149">
      <c r="A149" s="2" t="inlineStr">
        <is>
          <t>core</t>
        </is>
      </c>
      <c r="B149" s="2" t="inlineStr"/>
      <c r="C149" s="2" t="inlineStr">
        <is>
          <t>neo_mac_core_v02</t>
        </is>
      </c>
      <c r="D149" s="2" t="inlineStr">
        <is>
          <t>u_dp.u_idx_dl.pipe[33]</t>
        </is>
      </c>
      <c r="E149" s="2" t="inlineStr">
        <is>
          <t>5</t>
        </is>
      </c>
      <c r="F149" s="2" t="inlineStr">
        <is>
          <t>flip</t>
        </is>
      </c>
      <c r="G149" s="2" t="inlineStr">
        <is>
          <t>133</t>
        </is>
      </c>
      <c r="H149" s="2" t="inlineStr">
        <is>
          <t>dangerous</t>
        </is>
      </c>
      <c r="I149" s="2" t="inlineStr">
        <is>
          <t>14</t>
        </is>
      </c>
    </row>
    <row r="150">
      <c r="A150" s="2" t="inlineStr">
        <is>
          <t>core</t>
        </is>
      </c>
      <c r="B150" s="2" t="inlineStr"/>
      <c r="C150" s="2" t="inlineStr">
        <is>
          <t>neo_mac_core_v02</t>
        </is>
      </c>
      <c r="D150" s="2" t="inlineStr">
        <is>
          <t>u_dp.u_idx_dl.pipe[39]</t>
        </is>
      </c>
      <c r="E150" s="2" t="inlineStr">
        <is>
          <t>0</t>
        </is>
      </c>
      <c r="F150" s="2" t="inlineStr">
        <is>
          <t>sa0</t>
        </is>
      </c>
      <c r="G150" s="2" t="inlineStr">
        <is>
          <t>16</t>
        </is>
      </c>
      <c r="H150" s="2" t="inlineStr">
        <is>
          <t>dangerous</t>
        </is>
      </c>
      <c r="I150" s="2" t="inlineStr">
        <is>
          <t>499</t>
        </is>
      </c>
    </row>
    <row r="151">
      <c r="A151" s="2" t="inlineStr">
        <is>
          <t>core</t>
        </is>
      </c>
      <c r="B151" s="2" t="inlineStr"/>
      <c r="C151" s="2" t="inlineStr">
        <is>
          <t>neo_mac_core_v02</t>
        </is>
      </c>
      <c r="D151" s="2" t="inlineStr">
        <is>
          <t>u_dp.u_idx_dl.pipe[3]</t>
        </is>
      </c>
      <c r="E151" s="2" t="inlineStr">
        <is>
          <t>0</t>
        </is>
      </c>
      <c r="F151" s="2" t="inlineStr">
        <is>
          <t>flip</t>
        </is>
      </c>
      <c r="G151" s="2" t="inlineStr">
        <is>
          <t>443</t>
        </is>
      </c>
      <c r="H151" s="2" t="inlineStr">
        <is>
          <t>dangerous</t>
        </is>
      </c>
      <c r="I151" s="2" t="inlineStr">
        <is>
          <t>28</t>
        </is>
      </c>
    </row>
    <row r="152">
      <c r="A152" s="2" t="inlineStr">
        <is>
          <t>core</t>
        </is>
      </c>
      <c r="B152" s="2" t="inlineStr"/>
      <c r="C152" s="2" t="inlineStr">
        <is>
          <t>neo_mac_core_v02</t>
        </is>
      </c>
      <c r="D152" s="2" t="inlineStr">
        <is>
          <t>u_dp.u_idx_dl.pipe[5]</t>
        </is>
      </c>
      <c r="E152" s="2" t="inlineStr">
        <is>
          <t>4</t>
        </is>
      </c>
      <c r="F152" s="2" t="inlineStr">
        <is>
          <t>sa0</t>
        </is>
      </c>
      <c r="G152" s="2" t="inlineStr">
        <is>
          <t>1351</t>
        </is>
      </c>
      <c r="H152" s="2" t="inlineStr">
        <is>
          <t>dangerous</t>
        </is>
      </c>
      <c r="I152" s="2" t="inlineStr">
        <is>
          <t>443</t>
        </is>
      </c>
    </row>
    <row r="153">
      <c r="A153" s="2" t="inlineStr">
        <is>
          <t>core</t>
        </is>
      </c>
      <c r="B153" s="2" t="inlineStr"/>
      <c r="C153" s="2" t="inlineStr">
        <is>
          <t>neo_mac_core_v02</t>
        </is>
      </c>
      <c r="D153" s="2" t="inlineStr">
        <is>
          <t>u_dp.u_idx_dl.pipe[6]</t>
        </is>
      </c>
      <c r="E153" s="2" t="inlineStr">
        <is>
          <t>1</t>
        </is>
      </c>
      <c r="F153" s="2" t="inlineStr">
        <is>
          <t>sa1</t>
        </is>
      </c>
      <c r="G153" s="2" t="inlineStr">
        <is>
          <t>1357</t>
        </is>
      </c>
      <c r="H153" s="2" t="inlineStr">
        <is>
          <t>dangerous</t>
        </is>
      </c>
      <c r="I153" s="2" t="inlineStr">
        <is>
          <t>500</t>
        </is>
      </c>
    </row>
    <row r="154">
      <c r="A154" s="2" t="inlineStr">
        <is>
          <t>core</t>
        </is>
      </c>
      <c r="B154" s="2" t="inlineStr"/>
      <c r="C154" s="2" t="inlineStr">
        <is>
          <t>neo_mac_core_v02</t>
        </is>
      </c>
      <c r="D154" s="2" t="inlineStr">
        <is>
          <t>u_dp.u_idx_dl.pipe[8]</t>
        </is>
      </c>
      <c r="E154" s="2" t="inlineStr">
        <is>
          <t>3</t>
        </is>
      </c>
      <c r="F154" s="2" t="inlineStr">
        <is>
          <t>sa1</t>
        </is>
      </c>
      <c r="G154" s="2" t="inlineStr">
        <is>
          <t>426</t>
        </is>
      </c>
      <c r="H154" s="2" t="inlineStr">
        <is>
          <t>dangerous</t>
        </is>
      </c>
      <c r="I154" s="2" t="inlineStr">
        <is>
          <t>504</t>
        </is>
      </c>
    </row>
    <row r="155">
      <c r="A155" s="2" t="inlineStr">
        <is>
          <t>core</t>
        </is>
      </c>
      <c r="B155" s="2" t="inlineStr"/>
      <c r="C155" s="2" t="inlineStr">
        <is>
          <t>neo_mac_core_v02</t>
        </is>
      </c>
      <c r="D155" s="2" t="inlineStr">
        <is>
          <t>u_dp.u_idx_dl.pipe[8]</t>
        </is>
      </c>
      <c r="E155" s="2" t="inlineStr">
        <is>
          <t>4</t>
        </is>
      </c>
      <c r="F155" s="2" t="inlineStr">
        <is>
          <t>sa1</t>
        </is>
      </c>
      <c r="G155" s="2" t="inlineStr">
        <is>
          <t>768</t>
        </is>
      </c>
      <c r="H155" s="2" t="inlineStr">
        <is>
          <t>dangerous</t>
        </is>
      </c>
      <c r="I155" s="2" t="inlineStr">
        <is>
          <t>495</t>
        </is>
      </c>
    </row>
    <row r="156">
      <c r="A156" s="2" t="inlineStr">
        <is>
          <t>core</t>
        </is>
      </c>
      <c r="B156" s="2" t="inlineStr"/>
      <c r="C156" s="2" t="inlineStr">
        <is>
          <t>neo_mac_core_v02</t>
        </is>
      </c>
      <c r="D156" s="2" t="inlineStr">
        <is>
          <t>u_dp.u_idx_dl.pipe[9]</t>
        </is>
      </c>
      <c r="E156" s="2" t="inlineStr">
        <is>
          <t>2</t>
        </is>
      </c>
      <c r="F156" s="2" t="inlineStr">
        <is>
          <t>sa1</t>
        </is>
      </c>
      <c r="G156" s="2" t="inlineStr">
        <is>
          <t>1505</t>
        </is>
      </c>
      <c r="H156" s="2" t="inlineStr">
        <is>
          <t>dangerous</t>
        </is>
      </c>
      <c r="I156" s="2" t="inlineStr">
        <is>
          <t>432</t>
        </is>
      </c>
    </row>
    <row r="157">
      <c r="A157" s="2" t="inlineStr">
        <is>
          <t>core</t>
        </is>
      </c>
      <c r="B157" s="2" t="inlineStr"/>
      <c r="C157" s="2" t="inlineStr">
        <is>
          <t>neo_mac_core_v02</t>
        </is>
      </c>
      <c r="D157" s="2" t="inlineStr">
        <is>
          <t>u_dp.u_idx_dl.pipe[9]</t>
        </is>
      </c>
      <c r="E157" s="2" t="inlineStr">
        <is>
          <t>0</t>
        </is>
      </c>
      <c r="F157" s="2" t="inlineStr">
        <is>
          <t>flip</t>
        </is>
      </c>
      <c r="G157" s="2" t="inlineStr">
        <is>
          <t>1369</t>
        </is>
      </c>
      <c r="H157" s="2" t="inlineStr">
        <is>
          <t>dangerous</t>
        </is>
      </c>
      <c r="I157" s="2" t="inlineStr">
        <is>
          <t>28</t>
        </is>
      </c>
    </row>
    <row r="158">
      <c r="A158" s="2" t="inlineStr">
        <is>
          <t>tile</t>
        </is>
      </c>
      <c r="B158" s="2" t="inlineStr">
        <is>
          <t>0</t>
        </is>
      </c>
      <c r="C158" s="2" t="inlineStr">
        <is>
          <t>act_feeder.sram</t>
        </is>
      </c>
      <c r="D158" s="2" t="inlineStr">
        <is>
          <t>u_mesh.g_y[0].g_x[0].u_t.u_core.u_dp.u_feeder.u_mem.mem[0]</t>
        </is>
      </c>
      <c r="E158" s="2" t="inlineStr">
        <is>
          <t>48</t>
        </is>
      </c>
      <c r="F158" s="2" t="inlineStr">
        <is>
          <t>flip</t>
        </is>
      </c>
      <c r="G158" s="2" t="inlineStr">
        <is>
          <t>54</t>
        </is>
      </c>
      <c r="H158" s="2" t="inlineStr">
        <is>
          <t>dangerous</t>
        </is>
      </c>
      <c r="I158" s="2" t="inlineStr">
        <is>
          <t>32</t>
        </is>
      </c>
    </row>
    <row r="159">
      <c r="A159" s="2" t="inlineStr">
        <is>
          <t>tile</t>
        </is>
      </c>
      <c r="B159" s="2" t="inlineStr">
        <is>
          <t>0</t>
        </is>
      </c>
      <c r="C159" s="2" t="inlineStr">
        <is>
          <t>act_feeder.sram</t>
        </is>
      </c>
      <c r="D159" s="2" t="inlineStr">
        <is>
          <t>u_mesh.g_y[0].g_x[0].u_t.u_core.u_dp.u_feeder.u_mem.mem[11]</t>
        </is>
      </c>
      <c r="E159" s="2" t="inlineStr">
        <is>
          <t>118</t>
        </is>
      </c>
      <c r="F159" s="2" t="inlineStr">
        <is>
          <t>sa1</t>
        </is>
      </c>
      <c r="G159" s="2" t="inlineStr">
        <is>
          <t>1557</t>
        </is>
      </c>
      <c r="H159" s="2" t="inlineStr">
        <is>
          <t>dangerous</t>
        </is>
      </c>
      <c r="I159" s="2" t="inlineStr">
        <is>
          <t>72</t>
        </is>
      </c>
    </row>
    <row r="160">
      <c r="A160" s="2" t="inlineStr">
        <is>
          <t>tile</t>
        </is>
      </c>
      <c r="B160" s="2" t="inlineStr">
        <is>
          <t>0</t>
        </is>
      </c>
      <c r="C160" s="2" t="inlineStr">
        <is>
          <t>act_feeder.sram</t>
        </is>
      </c>
      <c r="D160" s="2" t="inlineStr">
        <is>
          <t>u_mesh.g_y[0].g_x[0].u_t.u_core.u_dp.u_feeder.u_mem.mem[12]</t>
        </is>
      </c>
      <c r="E160" s="2" t="inlineStr">
        <is>
          <t>250</t>
        </is>
      </c>
      <c r="F160" s="2" t="inlineStr">
        <is>
          <t>flip</t>
        </is>
      </c>
      <c r="G160" s="2" t="inlineStr">
        <is>
          <t>2075</t>
        </is>
      </c>
      <c r="H160" s="2" t="inlineStr">
        <is>
          <t>dangerous</t>
        </is>
      </c>
      <c r="I160" s="2" t="inlineStr">
        <is>
          <t>48</t>
        </is>
      </c>
    </row>
    <row r="161">
      <c r="A161" s="2" t="inlineStr">
        <is>
          <t>tile</t>
        </is>
      </c>
      <c r="B161" s="2" t="inlineStr">
        <is>
          <t>0</t>
        </is>
      </c>
      <c r="C161" s="2" t="inlineStr">
        <is>
          <t>act_feeder.sram</t>
        </is>
      </c>
      <c r="D161" s="2" t="inlineStr">
        <is>
          <t>u_mesh.g_y[0].g_x[0].u_t.u_core.u_dp.u_feeder.u_mem.mem[13]</t>
        </is>
      </c>
      <c r="E161" s="2" t="inlineStr">
        <is>
          <t>249</t>
        </is>
      </c>
      <c r="F161" s="2" t="inlineStr">
        <is>
          <t>flip</t>
        </is>
      </c>
      <c r="G161" s="2" t="inlineStr">
        <is>
          <t>1909</t>
        </is>
      </c>
      <c r="H161" s="2" t="inlineStr">
        <is>
          <t>dangerous</t>
        </is>
      </c>
      <c r="I161" s="2" t="inlineStr">
        <is>
          <t>72</t>
        </is>
      </c>
    </row>
    <row r="162">
      <c r="A162" s="2" t="inlineStr">
        <is>
          <t>tile</t>
        </is>
      </c>
      <c r="B162" s="2" t="inlineStr">
        <is>
          <t>0</t>
        </is>
      </c>
      <c r="C162" s="2" t="inlineStr">
        <is>
          <t>act_feeder.sram</t>
        </is>
      </c>
      <c r="D162" s="2" t="inlineStr">
        <is>
          <t>u_mesh.g_y[0].g_x[0].u_t.u_core.u_dp.u_feeder.u_mem.mem[14]</t>
        </is>
      </c>
      <c r="E162" s="2" t="inlineStr">
        <is>
          <t>175</t>
        </is>
      </c>
      <c r="F162" s="2" t="inlineStr">
        <is>
          <t>flip</t>
        </is>
      </c>
      <c r="G162" s="2" t="inlineStr">
        <is>
          <t>655</t>
        </is>
      </c>
      <c r="H162" s="2" t="inlineStr">
        <is>
          <t>dangerous</t>
        </is>
      </c>
      <c r="I162" s="2" t="inlineStr">
        <is>
          <t>48</t>
        </is>
      </c>
    </row>
    <row r="163">
      <c r="A163" s="2" t="inlineStr">
        <is>
          <t>tile</t>
        </is>
      </c>
      <c r="B163" s="2" t="inlineStr">
        <is>
          <t>0</t>
        </is>
      </c>
      <c r="C163" s="2" t="inlineStr">
        <is>
          <t>act_feeder.sram</t>
        </is>
      </c>
      <c r="D163" s="2" t="inlineStr">
        <is>
          <t>u_mesh.g_y[0].g_x[0].u_t.u_core.u_dp.u_feeder.u_mem.mem[19]</t>
        </is>
      </c>
      <c r="E163" s="2" t="inlineStr">
        <is>
          <t>9</t>
        </is>
      </c>
      <c r="F163" s="2" t="inlineStr">
        <is>
          <t>sa0</t>
        </is>
      </c>
      <c r="G163" s="2" t="inlineStr">
        <is>
          <t>1164</t>
        </is>
      </c>
      <c r="H163" s="2" t="inlineStr">
        <is>
          <t>dangerous</t>
        </is>
      </c>
      <c r="I163" s="2" t="inlineStr">
        <is>
          <t>48</t>
        </is>
      </c>
    </row>
    <row r="164">
      <c r="A164" s="2" t="inlineStr">
        <is>
          <t>tile</t>
        </is>
      </c>
      <c r="B164" s="2" t="inlineStr">
        <is>
          <t>0</t>
        </is>
      </c>
      <c r="C164" s="2" t="inlineStr">
        <is>
          <t>act_feeder.sram</t>
        </is>
      </c>
      <c r="D164" s="2" t="inlineStr">
        <is>
          <t>u_mesh.g_y[0].g_x[0].u_t.u_core.u_dp.u_feeder.u_mem.mem[1]</t>
        </is>
      </c>
      <c r="E164" s="2" t="inlineStr">
        <is>
          <t>4</t>
        </is>
      </c>
      <c r="F164" s="2" t="inlineStr">
        <is>
          <t>flip</t>
        </is>
      </c>
      <c r="G164" s="2" t="inlineStr">
        <is>
          <t>1022</t>
        </is>
      </c>
      <c r="H164" s="2" t="inlineStr">
        <is>
          <t>dangerous</t>
        </is>
      </c>
      <c r="I164" s="2" t="inlineStr">
        <is>
          <t>47</t>
        </is>
      </c>
    </row>
    <row r="165">
      <c r="A165" s="2" t="inlineStr">
        <is>
          <t>tile</t>
        </is>
      </c>
      <c r="B165" s="2" t="inlineStr">
        <is>
          <t>0</t>
        </is>
      </c>
      <c r="C165" s="2" t="inlineStr">
        <is>
          <t>act_feeder.sram</t>
        </is>
      </c>
      <c r="D165" s="2" t="inlineStr">
        <is>
          <t>u_mesh.g_y[0].g_x[0].u_t.u_core.u_dp.u_feeder.u_mem.mem[20]</t>
        </is>
      </c>
      <c r="E165" s="2" t="inlineStr">
        <is>
          <t>152</t>
        </is>
      </c>
      <c r="F165" s="2" t="inlineStr">
        <is>
          <t>flip</t>
        </is>
      </c>
      <c r="G165" s="2" t="inlineStr">
        <is>
          <t>706</t>
        </is>
      </c>
      <c r="H165" s="2" t="inlineStr">
        <is>
          <t>dangerous</t>
        </is>
      </c>
      <c r="I165" s="2" t="inlineStr">
        <is>
          <t>32</t>
        </is>
      </c>
    </row>
    <row r="166">
      <c r="A166" s="2" t="inlineStr">
        <is>
          <t>tile</t>
        </is>
      </c>
      <c r="B166" s="2" t="inlineStr">
        <is>
          <t>0</t>
        </is>
      </c>
      <c r="C166" s="2" t="inlineStr">
        <is>
          <t>act_feeder.sram</t>
        </is>
      </c>
      <c r="D166" s="2" t="inlineStr">
        <is>
          <t>u_mesh.g_y[0].g_x[0].u_t.u_core.u_dp.u_feeder.u_mem.mem[20]</t>
        </is>
      </c>
      <c r="E166" s="2" t="inlineStr">
        <is>
          <t>218</t>
        </is>
      </c>
      <c r="F166" s="2" t="inlineStr">
        <is>
          <t>flip</t>
        </is>
      </c>
      <c r="G166" s="2" t="inlineStr">
        <is>
          <t>1054</t>
        </is>
      </c>
      <c r="H166" s="2" t="inlineStr">
        <is>
          <t>dangerous</t>
        </is>
      </c>
      <c r="I166" s="2" t="inlineStr">
        <is>
          <t>31</t>
        </is>
      </c>
    </row>
    <row r="167">
      <c r="A167" s="2" t="inlineStr">
        <is>
          <t>tile</t>
        </is>
      </c>
      <c r="B167" s="2" t="inlineStr">
        <is>
          <t>0</t>
        </is>
      </c>
      <c r="C167" s="2" t="inlineStr">
        <is>
          <t>act_feeder.sram</t>
        </is>
      </c>
      <c r="D167" s="2" t="inlineStr">
        <is>
          <t>u_mesh.g_y[0].g_x[0].u_t.u_core.u_dp.u_feeder.u_mem.mem[20]</t>
        </is>
      </c>
      <c r="E167" s="2" t="inlineStr">
        <is>
          <t>210</t>
        </is>
      </c>
      <c r="F167" s="2" t="inlineStr">
        <is>
          <t>flip</t>
        </is>
      </c>
      <c r="G167" s="2" t="inlineStr">
        <is>
          <t>1219</t>
        </is>
      </c>
      <c r="H167" s="2" t="inlineStr">
        <is>
          <t>dangerous</t>
        </is>
      </c>
      <c r="I167" s="2" t="inlineStr">
        <is>
          <t>31</t>
        </is>
      </c>
    </row>
    <row r="168">
      <c r="A168" s="2" t="inlineStr">
        <is>
          <t>tile</t>
        </is>
      </c>
      <c r="B168" s="2" t="inlineStr">
        <is>
          <t>0</t>
        </is>
      </c>
      <c r="C168" s="2" t="inlineStr">
        <is>
          <t>act_feeder.sram</t>
        </is>
      </c>
      <c r="D168" s="2" t="inlineStr">
        <is>
          <t>u_mesh.g_y[0].g_x[0].u_t.u_core.u_dp.u_feeder.u_mem.mem[26]</t>
        </is>
      </c>
      <c r="E168" s="2" t="inlineStr">
        <is>
          <t>77</t>
        </is>
      </c>
      <c r="F168" s="2" t="inlineStr">
        <is>
          <t>flip</t>
        </is>
      </c>
      <c r="G168" s="2" t="inlineStr">
        <is>
          <t>1995</t>
        </is>
      </c>
      <c r="H168" s="2" t="inlineStr">
        <is>
          <t>dangerous</t>
        </is>
      </c>
      <c r="I168" s="2" t="inlineStr">
        <is>
          <t>72</t>
        </is>
      </c>
    </row>
    <row r="169">
      <c r="A169" s="2" t="inlineStr">
        <is>
          <t>tile</t>
        </is>
      </c>
      <c r="B169" s="2" t="inlineStr">
        <is>
          <t>0</t>
        </is>
      </c>
      <c r="C169" s="2" t="inlineStr">
        <is>
          <t>act_feeder.sram</t>
        </is>
      </c>
      <c r="D169" s="2" t="inlineStr">
        <is>
          <t>u_mesh.g_y[0].g_x[0].u_t.u_core.u_dp.u_feeder.u_mem.mem[27]</t>
        </is>
      </c>
      <c r="E169" s="2" t="inlineStr">
        <is>
          <t>165</t>
        </is>
      </c>
      <c r="F169" s="2" t="inlineStr">
        <is>
          <t>flip</t>
        </is>
      </c>
      <c r="G169" s="2" t="inlineStr">
        <is>
          <t>2630</t>
        </is>
      </c>
      <c r="H169" s="2" t="inlineStr">
        <is>
          <t>dangerous</t>
        </is>
      </c>
      <c r="I169" s="2" t="inlineStr">
        <is>
          <t>48</t>
        </is>
      </c>
    </row>
    <row r="170">
      <c r="A170" s="2" t="inlineStr">
        <is>
          <t>tile</t>
        </is>
      </c>
      <c r="B170" s="2" t="inlineStr">
        <is>
          <t>0</t>
        </is>
      </c>
      <c r="C170" s="2" t="inlineStr">
        <is>
          <t>act_feeder.sram</t>
        </is>
      </c>
      <c r="D170" s="2" t="inlineStr">
        <is>
          <t>u_mesh.g_y[0].g_x[0].u_t.u_core.u_dp.u_feeder.u_mem.mem[28]</t>
        </is>
      </c>
      <c r="E170" s="2" t="inlineStr">
        <is>
          <t>12</t>
        </is>
      </c>
      <c r="F170" s="2" t="inlineStr">
        <is>
          <t>flip</t>
        </is>
      </c>
      <c r="G170" s="2" t="inlineStr">
        <is>
          <t>1570</t>
        </is>
      </c>
      <c r="H170" s="2" t="inlineStr">
        <is>
          <t>dangerous</t>
        </is>
      </c>
      <c r="I170" s="2" t="inlineStr">
        <is>
          <t>72</t>
        </is>
      </c>
    </row>
    <row r="171">
      <c r="A171" s="2" t="inlineStr">
        <is>
          <t>tile</t>
        </is>
      </c>
      <c r="B171" s="2" t="inlineStr">
        <is>
          <t>0</t>
        </is>
      </c>
      <c r="C171" s="2" t="inlineStr">
        <is>
          <t>act_feeder.sram</t>
        </is>
      </c>
      <c r="D171" s="2" t="inlineStr">
        <is>
          <t>u_mesh.g_y[0].g_x[0].u_t.u_core.u_dp.u_feeder.u_mem.mem[32]</t>
        </is>
      </c>
      <c r="E171" s="2" t="inlineStr">
        <is>
          <t>125</t>
        </is>
      </c>
      <c r="F171" s="2" t="inlineStr">
        <is>
          <t>flip</t>
        </is>
      </c>
      <c r="G171" s="2" t="inlineStr">
        <is>
          <t>1853</t>
        </is>
      </c>
      <c r="H171" s="2" t="inlineStr">
        <is>
          <t>dangerous</t>
        </is>
      </c>
      <c r="I171" s="2" t="inlineStr">
        <is>
          <t>72</t>
        </is>
      </c>
    </row>
    <row r="172">
      <c r="A172" s="2" t="inlineStr">
        <is>
          <t>tile</t>
        </is>
      </c>
      <c r="B172" s="2" t="inlineStr">
        <is>
          <t>0</t>
        </is>
      </c>
      <c r="C172" s="2" t="inlineStr">
        <is>
          <t>act_feeder.sram</t>
        </is>
      </c>
      <c r="D172" s="2" t="inlineStr">
        <is>
          <t>u_mesh.g_y[0].g_x[0].u_t.u_core.u_dp.u_feeder.u_mem.mem[35]</t>
        </is>
      </c>
      <c r="E172" s="2" t="inlineStr">
        <is>
          <t>86</t>
        </is>
      </c>
      <c r="F172" s="2" t="inlineStr">
        <is>
          <t>flip</t>
        </is>
      </c>
      <c r="G172" s="2" t="inlineStr">
        <is>
          <t>1444</t>
        </is>
      </c>
      <c r="H172" s="2" t="inlineStr">
        <is>
          <t>dangerous</t>
        </is>
      </c>
      <c r="I172" s="2" t="inlineStr">
        <is>
          <t>48</t>
        </is>
      </c>
    </row>
    <row r="173">
      <c r="A173" s="2" t="inlineStr">
        <is>
          <t>tile</t>
        </is>
      </c>
      <c r="B173" s="2" t="inlineStr">
        <is>
          <t>0</t>
        </is>
      </c>
      <c r="C173" s="2" t="inlineStr">
        <is>
          <t>act_feeder.sram</t>
        </is>
      </c>
      <c r="D173" s="2" t="inlineStr">
        <is>
          <t>u_mesh.g_y[0].g_x[0].u_t.u_core.u_dp.u_feeder.u_mem.mem[45]</t>
        </is>
      </c>
      <c r="E173" s="2" t="inlineStr">
        <is>
          <t>136</t>
        </is>
      </c>
      <c r="F173" s="2" t="inlineStr">
        <is>
          <t>flip</t>
        </is>
      </c>
      <c r="G173" s="2" t="inlineStr">
        <is>
          <t>3313</t>
        </is>
      </c>
      <c r="H173" s="2" t="inlineStr">
        <is>
          <t>dangerous</t>
        </is>
      </c>
      <c r="I173" s="2" t="inlineStr">
        <is>
          <t>24</t>
        </is>
      </c>
    </row>
    <row r="174">
      <c r="A174" s="2" t="inlineStr">
        <is>
          <t>tile</t>
        </is>
      </c>
      <c r="B174" s="2" t="inlineStr">
        <is>
          <t>0</t>
        </is>
      </c>
      <c r="C174" s="2" t="inlineStr">
        <is>
          <t>act_feeder.sram</t>
        </is>
      </c>
      <c r="D174" s="2" t="inlineStr">
        <is>
          <t>u_mesh.g_y[0].g_x[0].u_t.u_core.u_dp.u_feeder.u_mem.mem[48]</t>
        </is>
      </c>
      <c r="E174" s="2" t="inlineStr">
        <is>
          <t>137</t>
        </is>
      </c>
      <c r="F174" s="2" t="inlineStr">
        <is>
          <t>flip</t>
        </is>
      </c>
      <c r="G174" s="2" t="inlineStr">
        <is>
          <t>2124</t>
        </is>
      </c>
      <c r="H174" s="2" t="inlineStr">
        <is>
          <t>dangerous</t>
        </is>
      </c>
      <c r="I174" s="2" t="inlineStr">
        <is>
          <t>72</t>
        </is>
      </c>
    </row>
    <row r="175">
      <c r="A175" s="2" t="inlineStr">
        <is>
          <t>tile</t>
        </is>
      </c>
      <c r="B175" s="2" t="inlineStr">
        <is>
          <t>0</t>
        </is>
      </c>
      <c r="C175" s="2" t="inlineStr">
        <is>
          <t>act_feeder.sram</t>
        </is>
      </c>
      <c r="D175" s="2" t="inlineStr">
        <is>
          <t>u_mesh.g_y[0].g_x[0].u_t.u_core.u_dp.u_feeder.u_mem.mem[49]</t>
        </is>
      </c>
      <c r="E175" s="2" t="inlineStr">
        <is>
          <t>18</t>
        </is>
      </c>
      <c r="F175" s="2" t="inlineStr">
        <is>
          <t>flip</t>
        </is>
      </c>
      <c r="G175" s="2" t="inlineStr">
        <is>
          <t>1878</t>
        </is>
      </c>
      <c r="H175" s="2" t="inlineStr">
        <is>
          <t>dangerous</t>
        </is>
      </c>
      <c r="I175" s="2" t="inlineStr">
        <is>
          <t>71</t>
        </is>
      </c>
    </row>
    <row r="176">
      <c r="A176" s="2" t="inlineStr">
        <is>
          <t>tile</t>
        </is>
      </c>
      <c r="B176" s="2" t="inlineStr">
        <is>
          <t>0</t>
        </is>
      </c>
      <c r="C176" s="2" t="inlineStr">
        <is>
          <t>act_feeder.sram</t>
        </is>
      </c>
      <c r="D176" s="2" t="inlineStr">
        <is>
          <t>u_mesh.g_y[0].g_x[0].u_t.u_core.u_dp.u_feeder.u_mem.mem[53]</t>
        </is>
      </c>
      <c r="E176" s="2" t="inlineStr">
        <is>
          <t>15</t>
        </is>
      </c>
      <c r="F176" s="2" t="inlineStr">
        <is>
          <t>flip</t>
        </is>
      </c>
      <c r="G176" s="2" t="inlineStr">
        <is>
          <t>611</t>
        </is>
      </c>
      <c r="H176" s="2" t="inlineStr">
        <is>
          <t>dangerous</t>
        </is>
      </c>
      <c r="I176" s="2" t="inlineStr">
        <is>
          <t>48</t>
        </is>
      </c>
    </row>
    <row r="177">
      <c r="A177" s="2" t="inlineStr">
        <is>
          <t>tile</t>
        </is>
      </c>
      <c r="B177" s="2" t="inlineStr">
        <is>
          <t>1</t>
        </is>
      </c>
      <c r="C177" s="2" t="inlineStr">
        <is>
          <t>host_if</t>
        </is>
      </c>
      <c r="D177" s="2" t="inlineStr">
        <is>
          <t>u_mesh.g_y[0].g_x[1].u_t.u_host.bist_start</t>
        </is>
      </c>
      <c r="E177" s="2" t="inlineStr">
        <is>
          <t>0</t>
        </is>
      </c>
      <c r="F177" s="2" t="inlineStr">
        <is>
          <t>flip</t>
        </is>
      </c>
      <c r="G177" s="2" t="inlineStr">
        <is>
          <t>2348</t>
        </is>
      </c>
      <c r="H177" s="2" t="inlineStr">
        <is>
          <t>dangerous</t>
        </is>
      </c>
      <c r="I177" s="2" t="inlineStr">
        <is>
          <t>16</t>
        </is>
      </c>
    </row>
    <row r="178">
      <c r="A178" s="2" t="inlineStr">
        <is>
          <t>tile</t>
        </is>
      </c>
      <c r="B178" s="2" t="inlineStr">
        <is>
          <t>0</t>
        </is>
      </c>
      <c r="C178" s="2" t="inlineStr">
        <is>
          <t>link_packer</t>
        </is>
      </c>
      <c r="D178" s="2" t="inlineStr">
        <is>
          <t>u_mesh.g_y[0].g_x[0].u_t.u_pack.g_split.idx</t>
        </is>
      </c>
      <c r="E178" s="2" t="inlineStr">
        <is>
          <t>1</t>
        </is>
      </c>
      <c r="F178" s="2" t="inlineStr">
        <is>
          <t>flip</t>
        </is>
      </c>
      <c r="G178" s="2" t="inlineStr">
        <is>
          <t>485</t>
        </is>
      </c>
      <c r="H178" s="2" t="inlineStr">
        <is>
          <t>dangerous</t>
        </is>
      </c>
      <c r="I178" s="2" t="inlineStr">
        <is>
          <t>288</t>
        </is>
      </c>
    </row>
    <row r="179">
      <c r="A179" s="2" t="inlineStr">
        <is>
          <t>tile</t>
        </is>
      </c>
      <c r="B179" s="2" t="inlineStr">
        <is>
          <t>1</t>
        </is>
      </c>
      <c r="C179" s="2" t="inlineStr">
        <is>
          <t>mbist</t>
        </is>
      </c>
      <c r="D179" s="2" t="inlineStr">
        <is>
          <t>u_mesh.g_y[0].g_x[1].u_t.u_bank.u_bist.state</t>
        </is>
      </c>
      <c r="E179" s="2" t="inlineStr">
        <is>
          <t>0</t>
        </is>
      </c>
      <c r="F179" s="2" t="inlineStr">
        <is>
          <t>sa1</t>
        </is>
      </c>
      <c r="G179" s="2" t="inlineStr">
        <is>
          <t>494</t>
        </is>
      </c>
      <c r="H179" s="2" t="inlineStr">
        <is>
          <t>dangerous</t>
        </is>
      </c>
      <c r="I179" s="2" t="inlineStr">
        <is>
          <t>304</t>
        </is>
      </c>
    </row>
    <row r="180">
      <c r="A180" s="2" t="inlineStr">
        <is>
          <t>tile</t>
        </is>
      </c>
      <c r="B180" s="2" t="inlineStr">
        <is>
          <t>3</t>
        </is>
      </c>
      <c r="C180" s="2" t="inlineStr">
        <is>
          <t>mbist</t>
        </is>
      </c>
      <c r="D180" s="2" t="inlineStr">
        <is>
          <t>u_mesh.g_y[1].g_x[1].u_t.u_bank.u_bist.state</t>
        </is>
      </c>
      <c r="E180" s="2" t="inlineStr">
        <is>
          <t>0</t>
        </is>
      </c>
      <c r="F180" s="2" t="inlineStr">
        <is>
          <t>sa1</t>
        </is>
      </c>
      <c r="G180" s="2" t="inlineStr">
        <is>
          <t>3368</t>
        </is>
      </c>
      <c r="H180" s="2" t="inlineStr">
        <is>
          <t>dangerous</t>
        </is>
      </c>
      <c r="I180" s="2" t="inlineStr">
        <is>
          <t>16</t>
        </is>
      </c>
    </row>
    <row r="181">
      <c r="A181" s="2" t="inlineStr">
        <is>
          <t>tile</t>
        </is>
      </c>
      <c r="B181" s="2" t="inlineStr">
        <is>
          <t>0</t>
        </is>
      </c>
      <c r="C181" s="2" t="inlineStr">
        <is>
          <t>neo_mac_core</t>
        </is>
      </c>
      <c r="D181" s="2" t="inlineStr">
        <is>
          <t>u_mesh.g_y[0].g_x[0].u_t.u_core.u_dp.u_core.valid_pipe</t>
        </is>
      </c>
      <c r="E181" s="2" t="inlineStr">
        <is>
          <t>15</t>
        </is>
      </c>
      <c r="F181" s="2" t="inlineStr">
        <is>
          <t>sa0</t>
        </is>
      </c>
      <c r="G181" s="2" t="inlineStr">
        <is>
          <t>1326</t>
        </is>
      </c>
      <c r="H181" s="2" t="inlineStr">
        <is>
          <t>dangerous</t>
        </is>
      </c>
      <c r="I181" s="2" t="inlineStr">
        <is>
          <t>288</t>
        </is>
      </c>
    </row>
    <row r="182">
      <c r="A182" s="2" t="inlineStr">
        <is>
          <t>tile</t>
        </is>
      </c>
      <c r="B182" s="2" t="inlineStr">
        <is>
          <t>0</t>
        </is>
      </c>
      <c r="C182" s="2" t="inlineStr">
        <is>
          <t>neo_mac_core_v02</t>
        </is>
      </c>
      <c r="D182" s="2" t="inlineStr">
        <is>
          <t>u_mesh.g_y[0].g_x[0].u_t.u_core.u_dp.u_idx_dl.pipe[15]</t>
        </is>
      </c>
      <c r="E182" s="2" t="inlineStr">
        <is>
          <t>0</t>
        </is>
      </c>
      <c r="F182" s="2" t="inlineStr">
        <is>
          <t>sa1</t>
        </is>
      </c>
      <c r="G182" s="2" t="inlineStr">
        <is>
          <t>3221</t>
        </is>
      </c>
      <c r="H182" s="2" t="inlineStr">
        <is>
          <t>dangerous</t>
        </is>
      </c>
      <c r="I182" s="2" t="inlineStr">
        <is>
          <t>288</t>
        </is>
      </c>
    </row>
    <row r="183">
      <c r="A183" s="2" t="inlineStr">
        <is>
          <t>tile</t>
        </is>
      </c>
      <c r="B183" s="2" t="inlineStr">
        <is>
          <t>0</t>
        </is>
      </c>
      <c r="C183" s="2" t="inlineStr">
        <is>
          <t>neo_mac_core_v02</t>
        </is>
      </c>
      <c r="D183" s="2" t="inlineStr">
        <is>
          <t>u_mesh.g_y[0].g_x[0].u_t.u_core.u_dp.u_idx_dl.pipe[18]</t>
        </is>
      </c>
      <c r="E183" s="2" t="inlineStr">
        <is>
          <t>4</t>
        </is>
      </c>
      <c r="F183" s="2" t="inlineStr">
        <is>
          <t>sa0</t>
        </is>
      </c>
      <c r="G183" s="2" t="inlineStr">
        <is>
          <t>1319</t>
        </is>
      </c>
      <c r="H183" s="2" t="inlineStr">
        <is>
          <t>dangerous</t>
        </is>
      </c>
      <c r="I183" s="2" t="inlineStr">
        <is>
          <t>256</t>
        </is>
      </c>
    </row>
    <row r="184">
      <c r="A184" s="2" t="inlineStr">
        <is>
          <t>tile</t>
        </is>
      </c>
      <c r="B184" s="2" t="inlineStr">
        <is>
          <t>0</t>
        </is>
      </c>
      <c r="C184" s="2" t="inlineStr">
        <is>
          <t>neo_mac_core_v02</t>
        </is>
      </c>
      <c r="D184" s="2" t="inlineStr">
        <is>
          <t>u_mesh.g_y[0].g_x[0].u_t.u_core.u_dp.u_idx_dl.pipe[19]</t>
        </is>
      </c>
      <c r="E184" s="2" t="inlineStr">
        <is>
          <t>0</t>
        </is>
      </c>
      <c r="F184" s="2" t="inlineStr">
        <is>
          <t>sa1</t>
        </is>
      </c>
      <c r="G184" s="2" t="inlineStr">
        <is>
          <t>1335</t>
        </is>
      </c>
      <c r="H184" s="2" t="inlineStr">
        <is>
          <t>dangerous</t>
        </is>
      </c>
      <c r="I184" s="2" t="inlineStr">
        <is>
          <t>288</t>
        </is>
      </c>
    </row>
    <row r="185">
      <c r="A185" s="2" t="inlineStr">
        <is>
          <t>tile</t>
        </is>
      </c>
      <c r="B185" s="2" t="inlineStr">
        <is>
          <t>0</t>
        </is>
      </c>
      <c r="C185" s="2" t="inlineStr">
        <is>
          <t>neo_mac_core_v02</t>
        </is>
      </c>
      <c r="D185" s="2" t="inlineStr">
        <is>
          <t>u_mesh.g_y[0].g_x[0].u_t.u_core.u_dp.u_idx_dl.pipe[25]</t>
        </is>
      </c>
      <c r="E185" s="2" t="inlineStr">
        <is>
          <t>0</t>
        </is>
      </c>
      <c r="F185" s="2" t="inlineStr">
        <is>
          <t>flip</t>
        </is>
      </c>
      <c r="G185" s="2" t="inlineStr">
        <is>
          <t>2354</t>
        </is>
      </c>
      <c r="H185" s="2" t="inlineStr">
        <is>
          <t>dangerous</t>
        </is>
      </c>
      <c r="I185" s="2" t="inlineStr">
        <is>
          <t>16</t>
        </is>
      </c>
    </row>
    <row r="186">
      <c r="A186" s="2" t="inlineStr">
        <is>
          <t>tile</t>
        </is>
      </c>
      <c r="B186" s="2" t="inlineStr">
        <is>
          <t>0</t>
        </is>
      </c>
      <c r="C186" s="2" t="inlineStr">
        <is>
          <t>neo_mac_core_v02</t>
        </is>
      </c>
      <c r="D186" s="2" t="inlineStr">
        <is>
          <t>u_mesh.g_y[0].g_x[0].u_t.u_core.u_dp.u_idx_dl.pipe[29]</t>
        </is>
      </c>
      <c r="E186" s="2" t="inlineStr">
        <is>
          <t>2</t>
        </is>
      </c>
      <c r="F186" s="2" t="inlineStr">
        <is>
          <t>sa1</t>
        </is>
      </c>
      <c r="G186" s="2" t="inlineStr">
        <is>
          <t>3120</t>
        </is>
      </c>
      <c r="H186" s="2" t="inlineStr">
        <is>
          <t>dangerous</t>
        </is>
      </c>
      <c r="I186" s="2" t="inlineStr">
        <is>
          <t>288</t>
        </is>
      </c>
    </row>
    <row r="187">
      <c r="A187" s="2" t="inlineStr">
        <is>
          <t>tile</t>
        </is>
      </c>
      <c r="B187" s="2" t="inlineStr">
        <is>
          <t>0</t>
        </is>
      </c>
      <c r="C187" s="2" t="inlineStr">
        <is>
          <t>neo_mac_core_v02</t>
        </is>
      </c>
      <c r="D187" s="2" t="inlineStr">
        <is>
          <t>u_mesh.g_y[0].g_x[0].u_t.u_core.u_dp.u_idx_dl.pipe[29]</t>
        </is>
      </c>
      <c r="E187" s="2" t="inlineStr">
        <is>
          <t>5</t>
        </is>
      </c>
      <c r="F187" s="2" t="inlineStr">
        <is>
          <t>flip</t>
        </is>
      </c>
      <c r="G187" s="2" t="inlineStr">
        <is>
          <t>3313</t>
        </is>
      </c>
      <c r="H187" s="2" t="inlineStr">
        <is>
          <t>dangerous</t>
        </is>
      </c>
      <c r="I187" s="2" t="inlineStr">
        <is>
          <t>8</t>
        </is>
      </c>
    </row>
    <row r="188">
      <c r="A188" s="2" t="inlineStr">
        <is>
          <t>tile</t>
        </is>
      </c>
      <c r="B188" s="2" t="inlineStr">
        <is>
          <t>0</t>
        </is>
      </c>
      <c r="C188" s="2" t="inlineStr">
        <is>
          <t>neo_mac_core_v02</t>
        </is>
      </c>
      <c r="D188" s="2" t="inlineStr">
        <is>
          <t>u_mesh.g_y[0].g_x[0].u_t.u_core.u_dp.u_idx_dl.pipe[34]</t>
        </is>
      </c>
      <c r="E188" s="2" t="inlineStr">
        <is>
          <t>1</t>
        </is>
      </c>
      <c r="F188" s="2" t="inlineStr">
        <is>
          <t>sa1</t>
        </is>
      </c>
      <c r="G188" s="2" t="inlineStr">
        <is>
          <t>1148</t>
        </is>
      </c>
      <c r="H188" s="2" t="inlineStr">
        <is>
          <t>dangerous</t>
        </is>
      </c>
      <c r="I188" s="2" t="inlineStr">
        <is>
          <t>288</t>
        </is>
      </c>
    </row>
    <row r="189">
      <c r="A189" s="2" t="inlineStr">
        <is>
          <t>tile</t>
        </is>
      </c>
      <c r="B189" s="2" t="inlineStr">
        <is>
          <t>0</t>
        </is>
      </c>
      <c r="C189" s="2" t="inlineStr">
        <is>
          <t>neo_mac_core_v02</t>
        </is>
      </c>
      <c r="D189" s="2" t="inlineStr">
        <is>
          <t>u_mesh.g_y[0].g_x[0].u_t.u_core.u_dp.u_idx_dl.pipe[34]</t>
        </is>
      </c>
      <c r="E189" s="2" t="inlineStr">
        <is>
          <t>5</t>
        </is>
      </c>
      <c r="F189" s="2" t="inlineStr">
        <is>
          <t>flip</t>
        </is>
      </c>
      <c r="G189" s="2" t="inlineStr">
        <is>
          <t>3442</t>
        </is>
      </c>
      <c r="H189" s="2" t="inlineStr">
        <is>
          <t>dangerous</t>
        </is>
      </c>
      <c r="I189" s="2" t="inlineStr">
        <is>
          <t>8</t>
        </is>
      </c>
    </row>
    <row r="190">
      <c r="A190" s="2" t="inlineStr">
        <is>
          <t>tile</t>
        </is>
      </c>
      <c r="B190" s="2" t="inlineStr">
        <is>
          <t>0</t>
        </is>
      </c>
      <c r="C190" s="2" t="inlineStr">
        <is>
          <t>neo_mac_core_v02</t>
        </is>
      </c>
      <c r="D190" s="2" t="inlineStr">
        <is>
          <t>u_mesh.g_y[0].g_x[0].u_t.u_core.u_dp.u_idx_dl.pipe[35]</t>
        </is>
      </c>
      <c r="E190" s="2" t="inlineStr">
        <is>
          <t>4</t>
        </is>
      </c>
      <c r="F190" s="2" t="inlineStr">
        <is>
          <t>flip</t>
        </is>
      </c>
      <c r="G190" s="2" t="inlineStr">
        <is>
          <t>2175</t>
        </is>
      </c>
      <c r="H190" s="2" t="inlineStr">
        <is>
          <t>dangerous</t>
        </is>
      </c>
      <c r="I190" s="2" t="inlineStr">
        <is>
          <t>16</t>
        </is>
      </c>
    </row>
    <row r="191">
      <c r="A191" s="2" t="inlineStr">
        <is>
          <t>tile</t>
        </is>
      </c>
      <c r="B191" s="2" t="inlineStr">
        <is>
          <t>0</t>
        </is>
      </c>
      <c r="C191" s="2" t="inlineStr">
        <is>
          <t>neo_mac_core_v02</t>
        </is>
      </c>
      <c r="D191" s="2" t="inlineStr">
        <is>
          <t>u_mesh.g_y[0].g_x[0].u_t.u_core.u_dp.u_idx_dl.pipe[6]</t>
        </is>
      </c>
      <c r="E191" s="2" t="inlineStr">
        <is>
          <t>5</t>
        </is>
      </c>
      <c r="F191" s="2" t="inlineStr">
        <is>
          <t>sa1</t>
        </is>
      </c>
      <c r="G191" s="2" t="inlineStr">
        <is>
          <t>2438</t>
        </is>
      </c>
      <c r="H191" s="2" t="inlineStr">
        <is>
          <t>dangerous</t>
        </is>
      </c>
      <c r="I191" s="2" t="inlineStr">
        <is>
          <t>288</t>
        </is>
      </c>
    </row>
    <row r="192">
      <c r="A192" s="2" t="inlineStr">
        <is>
          <t>tile</t>
        </is>
      </c>
      <c r="B192" s="2" t="inlineStr">
        <is>
          <t>0</t>
        </is>
      </c>
      <c r="C192" s="2" t="inlineStr">
        <is>
          <t>tile_nic</t>
        </is>
      </c>
      <c r="D192" s="2" t="inlineStr">
        <is>
          <t>u_mesh.g_y[0].g_x[0].u_t.u_nic.stage[0]</t>
        </is>
      </c>
      <c r="E192" s="2" t="inlineStr">
        <is>
          <t>18</t>
        </is>
      </c>
      <c r="F192" s="2" t="inlineStr">
        <is>
          <t>flip</t>
        </is>
      </c>
      <c r="G192" s="2" t="inlineStr">
        <is>
          <t>380</t>
        </is>
      </c>
      <c r="H192" s="2" t="inlineStr">
        <is>
          <t>dangerous</t>
        </is>
      </c>
      <c r="I192" s="2" t="inlineStr">
        <is>
          <t>48</t>
        </is>
      </c>
    </row>
    <row r="193">
      <c r="A193" s="2" t="inlineStr">
        <is>
          <t>tile</t>
        </is>
      </c>
      <c r="B193" s="2" t="inlineStr">
        <is>
          <t>1</t>
        </is>
      </c>
      <c r="C193" s="2" t="inlineStr">
        <is>
          <t>tile_nic</t>
        </is>
      </c>
      <c r="D193" s="2" t="inlineStr">
        <is>
          <t>u_mesh.g_y[0].g_x[1].u_t.u_nic.st_mge</t>
        </is>
      </c>
      <c r="E193" s="2" t="inlineStr">
        <is>
          <t>5</t>
        </is>
      </c>
      <c r="F193" s="2" t="inlineStr">
        <is>
          <t>sa0</t>
        </is>
      </c>
      <c r="G193" s="2" t="inlineStr">
        <is>
          <t>2281</t>
        </is>
      </c>
      <c r="H193" s="2" t="inlineStr">
        <is>
          <t>dangerous</t>
        </is>
      </c>
      <c r="I193" s="2" t="inlineStr">
        <is>
          <t>18</t>
        </is>
      </c>
    </row>
    <row r="194">
      <c r="A194" s="2" t="inlineStr">
        <is>
          <t>tile</t>
        </is>
      </c>
      <c r="B194" s="2" t="inlineStr">
        <is>
          <t>1</t>
        </is>
      </c>
      <c r="C194" s="2" t="inlineStr">
        <is>
          <t>tile_nic</t>
        </is>
      </c>
      <c r="D194" s="2" t="inlineStr">
        <is>
          <t>u_mesh.g_y[0].g_x[1].u_t.u_nic.st_rot</t>
        </is>
      </c>
      <c r="E194" s="2" t="inlineStr">
        <is>
          <t>2</t>
        </is>
      </c>
      <c r="F194" s="2" t="inlineStr">
        <is>
          <t>sa1</t>
        </is>
      </c>
      <c r="G194" s="2" t="inlineStr">
        <is>
          <t>3846</t>
        </is>
      </c>
      <c r="H194" s="2" t="inlineStr">
        <is>
          <t>dangerous</t>
        </is>
      </c>
      <c r="I194" s="2" t="inlineStr">
        <is>
          <t>17</t>
        </is>
      </c>
    </row>
    <row r="195">
      <c r="A195" s="2" t="inlineStr">
        <is>
          <t>tile</t>
        </is>
      </c>
      <c r="B195" s="2" t="inlineStr">
        <is>
          <t>3</t>
        </is>
      </c>
      <c r="C195" s="2" t="inlineStr">
        <is>
          <t>tile_nic</t>
        </is>
      </c>
      <c r="D195" s="2" t="inlineStr">
        <is>
          <t>u_mesh.g_y[1].g_x[1].u_t.u_nic.serve_row</t>
        </is>
      </c>
      <c r="E195" s="2" t="inlineStr">
        <is>
          <t>467</t>
        </is>
      </c>
      <c r="F195" s="2" t="inlineStr">
        <is>
          <t>flip</t>
        </is>
      </c>
      <c r="G195" s="2" t="inlineStr">
        <is>
          <t>154</t>
        </is>
      </c>
      <c r="H195" s="2" t="inlineStr">
        <is>
          <t>dangerous</t>
        </is>
      </c>
      <c r="I195" s="2" t="inlineStr">
        <is>
          <t>32</t>
        </is>
      </c>
    </row>
    <row r="196">
      <c r="A196" s="2" t="inlineStr">
        <is>
          <t>tile</t>
        </is>
      </c>
      <c r="B196" s="2" t="inlineStr">
        <is>
          <t>0</t>
        </is>
      </c>
      <c r="C196" s="2" t="inlineStr">
        <is>
          <t>tile_nic.macro</t>
        </is>
      </c>
      <c r="D196" s="2" t="inlineStr">
        <is>
          <t>u_mesh.g_y[0].g_x[0].u_t.u_nic.u_dfifo.rb_data</t>
        </is>
      </c>
      <c r="E196" s="2" t="inlineStr">
        <is>
          <t>239</t>
        </is>
      </c>
      <c r="F196" s="2" t="inlineStr">
        <is>
          <t>sa1</t>
        </is>
      </c>
      <c r="G196" s="2" t="inlineStr">
        <is>
          <t>971</t>
        </is>
      </c>
      <c r="H196" s="2" t="inlineStr">
        <is>
          <t>dangerous</t>
        </is>
      </c>
      <c r="I196" s="2" t="inlineStr">
        <is>
          <t>36</t>
        </is>
      </c>
    </row>
    <row r="197">
      <c r="A197" s="2" t="inlineStr">
        <is>
          <t>tile</t>
        </is>
      </c>
      <c r="B197" s="2" t="inlineStr">
        <is>
          <t>0</t>
        </is>
      </c>
      <c r="C197" s="2" t="inlineStr">
        <is>
          <t>tile_nic.macro</t>
        </is>
      </c>
      <c r="D197" s="2" t="inlineStr">
        <is>
          <t>u_mesh.g_y[0].g_x[0].u_t.u_nic.u_dfifo.rb_data</t>
        </is>
      </c>
      <c r="E197" s="2" t="inlineStr">
        <is>
          <t>154</t>
        </is>
      </c>
      <c r="F197" s="2" t="inlineStr">
        <is>
          <t>sa1</t>
        </is>
      </c>
      <c r="G197" s="2" t="inlineStr">
        <is>
          <t>505</t>
        </is>
      </c>
      <c r="H197" s="2" t="inlineStr">
        <is>
          <t>dangerous</t>
        </is>
      </c>
      <c r="I197" s="2" t="inlineStr">
        <is>
          <t>17</t>
        </is>
      </c>
    </row>
    <row r="198">
      <c r="A198" s="2" t="inlineStr">
        <is>
          <t>tile</t>
        </is>
      </c>
      <c r="B198" s="2" t="inlineStr">
        <is>
          <t>0</t>
        </is>
      </c>
      <c r="C198" s="2" t="inlineStr">
        <is>
          <t>tile_nic.macro</t>
        </is>
      </c>
      <c r="D198" s="2" t="inlineStr">
        <is>
          <t>u_mesh.g_y[0].g_x[0].u_t.u_nic.u_dfifo.rb_data</t>
        </is>
      </c>
      <c r="E198" s="2" t="inlineStr">
        <is>
          <t>175</t>
        </is>
      </c>
      <c r="F198" s="2" t="inlineStr">
        <is>
          <t>sa1</t>
        </is>
      </c>
      <c r="G198" s="2" t="inlineStr">
        <is>
          <t>359</t>
        </is>
      </c>
      <c r="H198" s="2" t="inlineStr">
        <is>
          <t>dangerous</t>
        </is>
      </c>
      <c r="I198" s="2" t="inlineStr">
        <is>
          <t>14</t>
        </is>
      </c>
    </row>
    <row r="199">
      <c r="A199" s="2" t="inlineStr">
        <is>
          <t>tile</t>
        </is>
      </c>
      <c r="B199" s="2" t="inlineStr">
        <is>
          <t>0</t>
        </is>
      </c>
      <c r="C199" s="2" t="inlineStr">
        <is>
          <t>tile_nic.macro</t>
        </is>
      </c>
      <c r="D199" s="2" t="inlineStr">
        <is>
          <t>u_mesh.g_y[0].g_x[0].u_t.u_nic.u_dfifo.rb_data</t>
        </is>
      </c>
      <c r="E199" s="2" t="inlineStr">
        <is>
          <t>138</t>
        </is>
      </c>
      <c r="F199" s="2" t="inlineStr">
        <is>
          <t>sa1</t>
        </is>
      </c>
      <c r="G199" s="2" t="inlineStr">
        <is>
          <t>1134</t>
        </is>
      </c>
      <c r="H199" s="2" t="inlineStr">
        <is>
          <t>dangerous</t>
        </is>
      </c>
      <c r="I199" s="2" t="inlineStr">
        <is>
          <t>19</t>
        </is>
      </c>
    </row>
    <row r="200">
      <c r="A200" s="2" t="inlineStr">
        <is>
          <t>tile</t>
        </is>
      </c>
      <c r="B200" s="2" t="inlineStr">
        <is>
          <t>0</t>
        </is>
      </c>
      <c r="C200" s="2" t="inlineStr">
        <is>
          <t>tile_nic.macro</t>
        </is>
      </c>
      <c r="D200" s="2" t="inlineStr">
        <is>
          <t>u_mesh.g_y[0].g_x[0].u_t.u_nic.u_dfifo.rb_data</t>
        </is>
      </c>
      <c r="E200" s="2" t="inlineStr">
        <is>
          <t>151</t>
        </is>
      </c>
      <c r="F200" s="2" t="inlineStr">
        <is>
          <t>sa0</t>
        </is>
      </c>
      <c r="G200" s="2" t="inlineStr">
        <is>
          <t>552</t>
        </is>
      </c>
      <c r="H200" s="2" t="inlineStr">
        <is>
          <t>dangerous</t>
        </is>
      </c>
      <c r="I200" s="2" t="inlineStr">
        <is>
          <t>19</t>
        </is>
      </c>
    </row>
    <row r="201">
      <c r="A201" s="2" t="inlineStr">
        <is>
          <t>tile</t>
        </is>
      </c>
      <c r="B201" s="2" t="inlineStr">
        <is>
          <t>0</t>
        </is>
      </c>
      <c r="C201" s="2" t="inlineStr">
        <is>
          <t>tile_nic.macro</t>
        </is>
      </c>
      <c r="D201" s="2" t="inlineStr">
        <is>
          <t>u_mesh.g_y[0].g_x[0].u_t.u_nic.u_dfifo.rb_data</t>
        </is>
      </c>
      <c r="E201" s="2" t="inlineStr">
        <is>
          <t>160</t>
        </is>
      </c>
      <c r="F201" s="2" t="inlineStr">
        <is>
          <t>sa0</t>
        </is>
      </c>
      <c r="G201" s="2" t="inlineStr">
        <is>
          <t>491</t>
        </is>
      </c>
      <c r="H201" s="2" t="inlineStr">
        <is>
          <t>dangerous</t>
        </is>
      </c>
      <c r="I201" s="2" t="inlineStr">
        <is>
          <t>16</t>
        </is>
      </c>
    </row>
    <row r="202">
      <c r="A202" s="2" t="inlineStr">
        <is>
          <t>tile</t>
        </is>
      </c>
      <c r="B202" s="2" t="inlineStr">
        <is>
          <t>0</t>
        </is>
      </c>
      <c r="C202" s="2" t="inlineStr">
        <is>
          <t>tile_nic.sram</t>
        </is>
      </c>
      <c r="D202" s="2" t="inlineStr">
        <is>
          <t>u_mesh.g_y[0].g_x[0].u_t.u_nic.u_dfifo.mem[19]</t>
        </is>
      </c>
      <c r="E202" s="2" t="inlineStr">
        <is>
          <t>7</t>
        </is>
      </c>
      <c r="F202" s="2" t="inlineStr">
        <is>
          <t>sa1</t>
        </is>
      </c>
      <c r="G202" s="2" t="inlineStr">
        <is>
          <t>2215</t>
        </is>
      </c>
      <c r="H202" s="2" t="inlineStr">
        <is>
          <t>dangerous</t>
        </is>
      </c>
      <c r="I202" s="2" t="inlineStr">
        <is>
          <t>1</t>
        </is>
      </c>
    </row>
    <row r="203">
      <c r="A203" s="2" t="inlineStr">
        <is>
          <t>tile</t>
        </is>
      </c>
      <c r="B203" s="2" t="inlineStr">
        <is>
          <t>0</t>
        </is>
      </c>
      <c r="C203" s="2" t="inlineStr">
        <is>
          <t>tile_nic.sram</t>
        </is>
      </c>
      <c r="D203" s="2" t="inlineStr">
        <is>
          <t>u_mesh.g_y[0].g_x[0].u_t.u_nic.u_dfifo.mem[19]</t>
        </is>
      </c>
      <c r="E203" s="2" t="inlineStr">
        <is>
          <t>161</t>
        </is>
      </c>
      <c r="F203" s="2" t="inlineStr">
        <is>
          <t>sa0</t>
        </is>
      </c>
      <c r="G203" s="2" t="inlineStr">
        <is>
          <t>3663</t>
        </is>
      </c>
      <c r="H203" s="2" t="inlineStr">
        <is>
          <t>dangerous</t>
        </is>
      </c>
      <c r="I203" s="2" t="inlineStr">
        <is>
          <t>1</t>
        </is>
      </c>
    </row>
    <row r="204">
      <c r="A204" s="2" t="inlineStr">
        <is>
          <t>tile</t>
        </is>
      </c>
      <c r="B204" s="2" t="inlineStr">
        <is>
          <t>0</t>
        </is>
      </c>
      <c r="C204" s="2" t="inlineStr">
        <is>
          <t>tile_nic.sram</t>
        </is>
      </c>
      <c r="D204" s="2" t="inlineStr">
        <is>
          <t>u_mesh.g_y[0].g_x[0].u_t.u_nic.u_dfifo.mem[21]</t>
        </is>
      </c>
      <c r="E204" s="2" t="inlineStr">
        <is>
          <t>24</t>
        </is>
      </c>
      <c r="F204" s="2" t="inlineStr">
        <is>
          <t>sa0</t>
        </is>
      </c>
      <c r="G204" s="2" t="inlineStr">
        <is>
          <t>1034</t>
        </is>
      </c>
      <c r="H204" s="2" t="inlineStr">
        <is>
          <t>dangerous</t>
        </is>
      </c>
      <c r="I204" s="2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60" customWidth="1" min="5" max="5"/>
    <col width="60" customWidth="1" min="6" max="6"/>
  </cols>
  <sheetData>
    <row r="1">
      <c r="A1" s="8" t="inlineStr">
        <is>
          <t>The formal job's proofs (Formal report -- SymbiYosys (2026-10-13 06:38:17 UTC)) and the FMEDA rows citing them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42" customHeight="1">
      <c r="A3" s="3" t="inlineStr">
        <is>
          <t>Task</t>
        </is>
      </c>
      <c r="B3" s="3" t="inlineStr">
        <is>
          <t>Result</t>
        </is>
      </c>
      <c r="C3" s="3" t="inlineStr">
        <is>
          <t>Mode</t>
        </is>
      </c>
      <c r="D3" s="3" t="inlineStr">
        <is>
          <t>Time</t>
        </is>
      </c>
      <c r="E3" s="3" t="inlineStr">
        <is>
          <t>What is proven</t>
        </is>
      </c>
      <c r="F3" s="3" t="inlineStr">
        <is>
          <t>Cited by</t>
        </is>
      </c>
    </row>
    <row r="4">
      <c r="A4" s="12" t="inlineStr">
        <is>
          <t>abft_checker</t>
        </is>
      </c>
      <c r="B4" s="12" t="inlineStr">
        <is>
          <t>PASS</t>
        </is>
      </c>
      <c r="C4" s="12" t="inlineStr">
        <is>
          <t>prove</t>
        </is>
      </c>
      <c r="D4" s="12" t="inlineStr">
        <is>
          <t>0.4 s</t>
        </is>
      </c>
      <c r="E4" s="12" t="inlineStr">
        <is>
          <t>a row's verdict two cycles after valid: err == (row sum != y_chk) with err_valid; err_sticky after err</t>
        </is>
      </c>
      <c r="F4" s="12" t="inlineStr">
        <is>
          <t>PE array datapath (1,056 MACs): Wrong product or sum, single-point; Weight registers (active + shadow): Bit flip in a stored weight; Weight registers (active + shadow): Stuck bit in a weight register; x / psum / token chains, skew, deskew: Bit flip in a pipeline register; x / psum / token chains, skew, deskew: Stuck pipeline register; ABFT checker (array output): Stuck at 'no error' (false negative); Accumulator SRAM (64 KB): Single-bit upset; Accumulator SRAM (64 KB): Stuck cell or decoder fault</t>
        </is>
      </c>
    </row>
    <row r="5">
      <c r="A5" s="12" t="inlineStr">
        <is>
          <t>crc16_beat_bw16</t>
        </is>
      </c>
      <c r="B5" s="12" t="inlineStr">
        <is>
          <t>PASS</t>
        </is>
      </c>
      <c r="C5" s="12" t="inlineStr">
        <is>
          <t>prove</t>
        </is>
      </c>
      <c r="D5" s="12" t="inlineStr">
        <is>
          <t>22.5 s</t>
        </is>
      </c>
      <c r="E5" s="12" t="inlineStr">
        <is>
          <t>rtl/crc16_beat == the frozen serial reference, every crc_in, beat and word count n = 0..BW</t>
        </is>
      </c>
      <c r="F5" s="12" t="inlineStr">
        <is>
          <t>NoC interface (requests, responses): Corrupted packet, lost packet (permanent part); NoC interface (requests, responses): Corrupted packet, lost packet (transient part)</t>
        </is>
      </c>
    </row>
    <row r="6">
      <c r="A6" s="12" t="inlineStr">
        <is>
          <t>crc16_beat_bw4</t>
        </is>
      </c>
      <c r="B6" s="12" t="inlineStr">
        <is>
          <t>PASS</t>
        </is>
      </c>
      <c r="C6" s="12" t="inlineStr">
        <is>
          <t>prove</t>
        </is>
      </c>
      <c r="D6" s="12" t="inlineStr">
        <is>
          <t>1.3 s</t>
        </is>
      </c>
      <c r="E6" s="12" t="inlineStr">
        <is>
          <t>rtl/crc16_beat == the frozen serial reference, every crc_in, beat and word count n = 0..BW</t>
        </is>
      </c>
      <c r="F6" s="12" t="inlineStr">
        <is>
          <t>NoC interface (requests, responses): Corrupted packet, lost packet (permanent part); NoC interface (requests, responses): Corrupted packet, lost packet (transient part)</t>
        </is>
      </c>
    </row>
    <row r="7">
      <c r="A7" s="12" t="inlineStr">
        <is>
          <t>ecc39</t>
        </is>
      </c>
      <c r="B7" s="12" t="inlineStr">
        <is>
          <t>PASS</t>
        </is>
      </c>
      <c r="C7" s="12" t="inlineStr">
        <is>
          <t>prove</t>
        </is>
      </c>
      <c r="D7" s="12" t="inlineStr">
        <is>
          <t>0.4 s</t>
        </is>
      </c>
      <c r="E7" s="12" t="inlineStr">
        <is>
          <t>(39,32) SECDED: dec(enc(d)) == d clean; every single flip corrected (ce); every double flip detected (ue)</t>
        </is>
      </c>
      <c r="F7" s="12" t="inlineStr">
        <is>
          <t>Sequencer FSM, run counters, weight-buffer addressing: Wrong run order, wrong tile, early drain (permanent part); Sequencer FSM, run counters, weight-buffer addressing: Wrong run order, wrong tile, early drain (transient part); Weight buffer SRAM (v2 addition): Single-bit upset; Weight buffer SRAM (v2 addition): Multi-bit upset in one lane; chip: Shared SRAM 128 MB, soft errors</t>
        </is>
      </c>
    </row>
    <row r="8">
      <c r="A8" s="12" t="inlineStr">
        <is>
          <t>link_pack_parity</t>
        </is>
      </c>
      <c r="B8" s="12" t="inlineStr">
        <is>
          <t>PASS</t>
        </is>
      </c>
      <c r="C8" s="12" t="inlineStr">
        <is>
          <t>prove</t>
        </is>
      </c>
      <c r="D8" s="12" t="inlineStr">
        <is>
          <t>13.1 s</t>
        </is>
      </c>
      <c r="E8" s="12" t="inlineStr">
        <is>
          <t>packer -&gt; unpacker round trip: same words, order and fields; flit parity and size; CRC flush; progress</t>
        </is>
      </c>
      <c r="F8" s="12" t="inlineStr">
        <is>
          <t>NoC interface (requests, responses): Corrupted packet, lost packet (permanent part); NoC interface (requests, responses): Corrupted packet, lost packet (transient part)</t>
        </is>
      </c>
    </row>
    <row r="9">
      <c r="A9" s="12" t="inlineStr">
        <is>
          <t>link_pack_stream</t>
        </is>
      </c>
      <c r="B9" s="12" t="inlineStr">
        <is>
          <t>PASS</t>
        </is>
      </c>
      <c r="C9" s="12" t="inlineStr">
        <is>
          <t>prove</t>
        </is>
      </c>
      <c r="D9" s="12" t="inlineStr">
        <is>
          <t>212.4 s</t>
        </is>
      </c>
      <c r="E9" s="12" t="inlineStr">
        <is>
          <t>packer -&gt; unpacker round trip: same words, order and fields; flit parity and size; CRC flush; progress</t>
        </is>
      </c>
      <c r="F9" s="12" t="inlineStr">
        <is>
          <t>NoC interface (requests, responses): Corrupted packet, lost packet (permanent part); NoC interface (requests, responses): Corrupted packet, lost packet (transient part)</t>
        </is>
      </c>
    </row>
    <row r="10">
      <c r="A10" s="12" t="inlineStr">
        <is>
          <t>lockstep_core_seq</t>
        </is>
      </c>
      <c r="B10" s="12" t="inlineStr">
        <is>
          <t>PASS</t>
        </is>
      </c>
      <c r="C10" s="12" t="inlineStr">
        <is>
          <t>prove</t>
        </is>
      </c>
      <c r="D10" s="12" t="inlineStr">
        <is>
          <t>1.2 s</t>
        </is>
      </c>
      <c r="E10" s="12" t="inlineStr">
        <is>
          <t>two core_seq (16x8), identical inputs from reset: the 12 compared outputs equal every cycle</t>
        </is>
      </c>
      <c r="F10" s="12" t="inlineStr">
        <is>
          <t>Sequencer FSM, run counters, weight-buffer addressing: Wrong run order, wrong tile, early drain (permanent part); Sequencer FSM, run counters, weight-buffer addressing: Wrong run order, wrong tile, early drain (transient part)</t>
        </is>
      </c>
    </row>
    <row r="11">
      <c r="A11" s="12" t="inlineStr">
        <is>
          <t>lockstep_requant</t>
        </is>
      </c>
      <c r="B11" s="12" t="inlineStr">
        <is>
          <t>PASS</t>
        </is>
      </c>
      <c r="C11" s="12" t="inlineStr">
        <is>
          <t>prove</t>
        </is>
      </c>
      <c r="D11" s="12" t="inlineStr">
        <is>
          <t>15.5 s</t>
        </is>
      </c>
      <c r="E11" s="12" t="inlineStr">
        <is>
          <t>two requant (COLS = 4), stream after the table is written: out_valid equal, out_q equal while valid</t>
        </is>
      </c>
      <c r="F11" s="12" t="inlineStr">
        <is>
          <t>Requantization tables and datapath: Wrong scale, zero point or saturation (permanent part); Requantization tables and datapath: Wrong scale, zero point or saturation (transient part)</t>
        </is>
      </c>
    </row>
    <row r="12">
      <c r="A12" s="12" t="inlineStr">
        <is>
          <t>noc_router</t>
        </is>
      </c>
      <c r="B12" s="12" t="inlineStr">
        <is>
          <t>PASS</t>
        </is>
      </c>
      <c r="C12" s="12" t="inlineStr">
        <is>
          <t>prove</t>
        </is>
      </c>
      <c r="D12" s="12" t="inlineStr">
        <is>
          <t>46.9 s</t>
        </is>
      </c>
      <c r="E12" s="12" t="inlineStr">
        <is>
          <t>FIFO invariants, XY routing, odd parity dropped and flagged, no invention, a flit token kept, fairness</t>
        </is>
      </c>
      <c r="F12" s="12" t="inlineStr">
        <is>
          <t>chip: NoC and DMA engines</t>
        </is>
      </c>
    </row>
    <row r="13">
      <c r="A13" s="12" t="inlineStr">
        <is>
          <t>requant_parity</t>
        </is>
      </c>
      <c r="B13" s="12" t="inlineStr">
        <is>
          <t>PASS</t>
        </is>
      </c>
      <c r="C13" s="12" t="inlineStr">
        <is>
          <t>prove</t>
        </is>
      </c>
      <c r="D13" s="12" t="inlineStr">
        <is>
          <t>1.5 s</t>
        </is>
      </c>
      <c r="E13" s="12" t="inlineStr">
        <is>
          <t>table parity: no fault, no flag; the fault on a written entry 0 under in_valid flags the next cycle</t>
        </is>
      </c>
      <c r="F13" s="12" t="inlineStr">
        <is>
          <t>Requantization tables and datapath: Wrong scale, zero point or saturation (permanent part); Requantization tables and datapath: Wrong scale, zero point or saturation (transient part)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20" customWidth="1" min="3" max="3"/>
    <col width="52" customWidth="1" min="4" max="4"/>
    <col width="10" customWidth="1" min="5" max="5"/>
  </cols>
  <sheetData>
    <row r="1">
      <c r="A1" s="2" t="inlineStr">
        <is>
          <t>Mechanism evidence: v1's fault-injection tests, and v2's (the campaign, C6)</t>
        </is>
      </c>
      <c r="B1" s="2" t="n"/>
      <c r="C1" s="2" t="n"/>
      <c r="D1" s="2" t="n"/>
      <c r="E1" s="2" t="n"/>
    </row>
    <row r="2">
      <c r="A2" s="2" t="inlineStr">
        <is>
          <t>Mechanism</t>
        </is>
      </c>
      <c r="B2" s="2" t="inlineStr">
        <is>
          <t>Fault injected</t>
        </is>
      </c>
      <c r="C2" s="2" t="inlineStr">
        <is>
          <t>Test</t>
        </is>
      </c>
      <c r="D2" s="2" t="inlineStr">
        <is>
          <t>Log</t>
        </is>
      </c>
      <c r="E2" s="2" t="inlineStr">
        <is>
          <t>Drop</t>
        </is>
      </c>
    </row>
    <row r="3">
      <c r="A3" s="2" t="inlineStr">
        <is>
          <t>ABFT check column</t>
        </is>
      </c>
      <c r="B3" s="2" t="inlineStr">
        <is>
          <t>+1 on one product in PE(0,0) for one cycle</t>
        </is>
      </c>
      <c r="C3" s="2" t="inlineStr">
        <is>
          <t>T2 (model and 32x32 RTL), C4</t>
        </is>
      </c>
      <c r="D3" s="2" t="inlineStr">
        <is>
          <t>sim/neosim_mac_core_32x32.log, sim/neosim_conv_core.log</t>
        </is>
      </c>
      <c r="E3" s="2" t="inlineStr">
        <is>
          <t>0.1-0.3</t>
        </is>
      </c>
    </row>
    <row r="4">
      <c r="A4" s="2" t="inlineStr">
        <is>
          <t>ABFT at drain</t>
        </is>
      </c>
      <c r="B4" s="2" t="inlineStr">
        <is>
          <t>bit flip in accumulator memory; corrupted partial-sum row in flight</t>
        </is>
      </c>
      <c r="C4" s="2" t="inlineStr">
        <is>
          <t>C4, K2</t>
        </is>
      </c>
      <c r="D4" s="2" t="inlineStr">
        <is>
          <t>sim/neosim_conv_core.log, sim/neosim_ksplit.log</t>
        </is>
      </c>
      <c r="E4" s="2" t="inlineStr">
        <is>
          <t>0.3, 0.6</t>
        </is>
      </c>
    </row>
    <row r="5">
      <c r="A5" s="2" t="inlineStr">
        <is>
          <t>Duplicated feeder control (R7)</t>
        </is>
      </c>
      <c r="B5" s="2" t="inlineStr">
        <is>
          <t>address generator corrupted for one valid cycle</t>
        </is>
      </c>
      <c r="C5" s="2" t="inlineStr">
        <is>
          <t>C5</t>
        </is>
      </c>
      <c r="D5" s="2" t="inlineStr">
        <is>
          <t>sim/neosim_conv_core.log</t>
        </is>
      </c>
      <c r="E5" s="2" t="inlineStr">
        <is>
          <t>0.4</t>
        </is>
      </c>
    </row>
    <row r="6">
      <c r="A6" s="2" t="inlineStr">
        <is>
          <t>Lockstep sequencer (R10)</t>
        </is>
      </c>
      <c r="B6" s="2" t="inlineStr">
        <is>
          <t>drain index bit 0 flipped</t>
        </is>
      </c>
      <c r="C6" s="2" t="inlineStr">
        <is>
          <t>C7</t>
        </is>
      </c>
      <c r="D6" s="2" t="inlineStr">
        <is>
          <t>sim/neosim_conv_core.log</t>
        </is>
      </c>
      <c r="E6" s="2" t="inlineStr">
        <is>
          <t>0.8</t>
        </is>
      </c>
    </row>
    <row r="7">
      <c r="A7" s="2" t="inlineStr">
        <is>
          <t>Duplicated requantization (R10)</t>
        </is>
      </c>
      <c r="B7" s="2" t="inlineStr">
        <is>
          <t>bit 12 of column 0 into the primary stage</t>
        </is>
      </c>
      <c r="C7" s="2" t="inlineStr">
        <is>
          <t>C8</t>
        </is>
      </c>
      <c r="D7" s="2" t="inlineStr">
        <is>
          <t>sim/neosim_conv_core.log</t>
        </is>
      </c>
      <c r="E7" s="2" t="inlineStr">
        <is>
          <t>0.8</t>
        </is>
      </c>
    </row>
    <row r="8">
      <c r="A8" s="2" t="inlineStr">
        <is>
          <t>Weight-buffer ECC</t>
        </is>
      </c>
      <c r="B8" s="2" t="inlineStr">
        <is>
          <t>data and check bits flipped in stored codewords</t>
        </is>
      </c>
      <c r="C8" s="2" t="inlineStr">
        <is>
          <t>C9</t>
        </is>
      </c>
      <c r="D8" s="2" t="inlineStr">
        <is>
          <t>sim/neosim_conv_core_late.log</t>
        </is>
      </c>
      <c r="E8" s="2" t="inlineStr">
        <is>
          <t>0.12</t>
        </is>
      </c>
    </row>
    <row r="9">
      <c r="A9" s="2" t="inlineStr">
        <is>
          <t>Requant table parity</t>
        </is>
      </c>
      <c r="B9" s="2" t="inlineStr">
        <is>
          <t>multiplier bit 0 flipped</t>
        </is>
      </c>
      <c r="C9" s="2" t="inlineStr">
        <is>
          <t>C10</t>
        </is>
      </c>
      <c r="D9" s="2" t="inlineStr">
        <is>
          <t>sim/neosim_conv_core_late.log</t>
        </is>
      </c>
      <c r="E9" s="2" t="inlineStr">
        <is>
          <t>0.12</t>
        </is>
      </c>
    </row>
    <row r="10">
      <c r="A10" s="2" t="inlineStr">
        <is>
          <t>Link parity</t>
        </is>
      </c>
      <c r="B10" s="2" t="inlineStr">
        <is>
          <t>flit bit flipped on a link</t>
        </is>
      </c>
      <c r="C10" s="2" t="inlineStr">
        <is>
          <t>N2</t>
        </is>
      </c>
      <c r="D10" s="2" t="inlineStr">
        <is>
          <t>sim/neosim_noc.log</t>
        </is>
      </c>
      <c r="E10" s="2" t="inlineStr">
        <is>
          <t>0.4</t>
        </is>
      </c>
    </row>
    <row r="11">
      <c r="A11" s="2" t="inlineStr">
        <is>
          <t>End-to-end CRC</t>
        </is>
      </c>
      <c r="B11" s="2" t="inlineStr">
        <is>
          <t>payload bit flipped past the last link check</t>
        </is>
      </c>
      <c r="C11" s="2" t="inlineStr">
        <is>
          <t>M3</t>
        </is>
      </c>
      <c r="D11" s="2" t="inlineStr">
        <is>
          <t>sim/neosim_tiles.log</t>
        </is>
      </c>
      <c r="E11" s="2" t="inlineStr">
        <is>
          <t>0.7</t>
        </is>
      </c>
    </row>
    <row r="12">
      <c r="A12" s="2" t="inlineStr">
        <is>
          <t>Bank ECC</t>
        </is>
      </c>
      <c r="B12" s="2" t="inlineStr">
        <is>
          <t>data and check bits flipped in the source bank</t>
        </is>
      </c>
      <c r="C12" s="2" t="inlineStr">
        <is>
          <t>M5</t>
        </is>
      </c>
      <c r="D12" s="2" t="inlineStr">
        <is>
          <t>sim/neosim_tiles.log</t>
        </is>
      </c>
      <c r="E12" s="2" t="inlineStr">
        <is>
          <t>0.9</t>
        </is>
      </c>
    </row>
    <row r="13">
      <c r="A13" s="2" t="inlineStr">
        <is>
          <t>Lost-flit detection</t>
        </is>
      </c>
      <c r="B13" s="2" t="inlineStr">
        <is>
          <t>a fetch-response flit dropped at the owner's port</t>
        </is>
      </c>
      <c r="C13" s="2" t="inlineStr">
        <is>
          <t>M9a</t>
        </is>
      </c>
      <c r="D13" s="2" t="inlineStr">
        <is>
          <t>sim/neosim_tiles.log</t>
        </is>
      </c>
      <c r="E13" s="2" t="inlineStr">
        <is>
          <t>0.12</t>
        </is>
      </c>
    </row>
    <row r="14">
      <c r="A14" s="2" t="inlineStr">
        <is>
          <t>Fetch timeout</t>
        </is>
      </c>
      <c r="B14" s="2" t="inlineStr">
        <is>
          <t>request against a server held busy</t>
        </is>
      </c>
      <c r="C14" s="2" t="inlineStr">
        <is>
          <t>M9b</t>
        </is>
      </c>
      <c r="D14" s="2" t="inlineStr">
        <is>
          <t>sim/neosim_tiles.log</t>
        </is>
      </c>
      <c r="E14" s="2" t="inlineStr">
        <is>
          <t>0.12</t>
        </is>
      </c>
    </row>
    <row r="15">
      <c r="A15" s="2" t="inlineStr">
        <is>
          <t>Reduction flow control</t>
        </is>
      </c>
      <c r="B15" s="2" t="inlineStr">
        <is>
          <t>contributor finishing before the owner (deadlock without RDY)</t>
        </is>
      </c>
      <c r="C15" s="2" t="inlineStr">
        <is>
          <t>M2</t>
        </is>
      </c>
      <c r="D15" s="2" t="inlineStr">
        <is>
          <t>sim/neosim_tiles.log</t>
        </is>
      </c>
      <c r="E15" s="2" t="inlineStr">
        <is>
          <t>0.9</t>
        </is>
      </c>
    </row>
    <row r="16">
      <c r="A16" s="2" t="inlineStr">
        <is>
          <t>ESM, error pin, watchdog, checker self-test</t>
        </is>
      </c>
      <c r="B16" s="2" t="inlineStr">
        <is>
          <t>self-test dummy run; watchdog not kicked</t>
        </is>
      </c>
      <c r="C16" s="2" t="inlineStr">
        <is>
          <t>M8</t>
        </is>
      </c>
      <c r="D16" s="2" t="inlineStr">
        <is>
          <t>sim/neosim_tiles.log</t>
        </is>
      </c>
      <c r="E16" s="2" t="inlineStr">
        <is>
          <t>0.12</t>
        </is>
      </c>
    </row>
    <row r="17">
      <c r="A17" s="2" t="inlineStr">
        <is>
          <t>Bank MBIST (March C-)</t>
        </is>
      </c>
      <c r="B17" s="2" t="inlineStr">
        <is>
          <t>stuck-at-1 bit; two stuck bits</t>
        </is>
      </c>
      <c r="C17" s="2" t="inlineStr">
        <is>
          <t>B1-B3, M11</t>
        </is>
      </c>
      <c r="D17" s="2" t="inlineStr">
        <is>
          <t>sim/neosim_mbist.log, sim/neosim_tiles.log</t>
        </is>
      </c>
      <c r="E17" s="2" t="inlineStr">
        <is>
          <t>0.13</t>
        </is>
      </c>
    </row>
    <row r="18">
      <c r="A18" s="2" t="inlineStr">
        <is>
          <t>(39,32) SECDED code</t>
        </is>
      </c>
      <c r="B18" s="2" t="inlineStr">
        <is>
          <t>all 39 single flips x 40 words; 400 double flips</t>
        </is>
      </c>
      <c r="C18" s="2" t="inlineStr">
        <is>
          <t>ecc39</t>
        </is>
      </c>
      <c r="D18" s="2" t="inlineStr">
        <is>
          <t>sim/neosim_ecc39.log</t>
        </is>
      </c>
      <c r="E18" s="2" t="inlineStr">
        <is>
          <t>0.9</t>
        </is>
      </c>
    </row>
    <row r="19">
      <c r="A19" s="2" t="inlineStr">
        <is>
          <t>INT8 layer-to-layer path</t>
        </is>
      </c>
      <c r="B19" s="2" t="inlineStr">
        <is>
          <t>none (functional)</t>
        </is>
      </c>
      <c r="C19" s="2" t="inlineStr">
        <is>
          <t>M10</t>
        </is>
      </c>
      <c r="D19" s="2" t="inlineStr">
        <is>
          <t>sim/neosim_two_layer.log</t>
        </is>
      </c>
      <c r="E19" s="2" t="inlineStr">
        <is>
          <t>0.13</t>
        </is>
      </c>
    </row>
    <row r="20">
      <c r="A20" s="2" t="inlineStr">
        <is>
          <t>LBIST</t>
        </is>
      </c>
      <c r="B20" s="2" t="inlineStr">
        <is>
          <t>none: tool-inserted (Modus), hooks and FTTI schedule in the island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handoff</t>
        </is>
      </c>
    </row>
    <row r="21">
      <c r="A21" s="2" t="inlineStr">
        <is>
          <t>Every mechanism, measured</t>
        </is>
      </c>
      <c r="B21" s="2" t="inlineStr">
        <is>
          <t>random flips and stuck-at faults in every flop and memory cell of the core (C1) and the 2x2 tile mesh (M1), classified against the fault-free run</t>
        </is>
      </c>
      <c r="C21" s="2" t="inlineStr">
        <is>
          <t>the faults job</t>
        </is>
      </c>
      <c r="D21" s="2" t="inlineStr">
        <is>
          <t>ci-logs-faults: faults.csv, faults_report.md, undetected.md</t>
        </is>
      </c>
      <c r="E21" s="2" t="inlineStr">
        <is>
          <t>0.43</t>
        </is>
      </c>
    </row>
    <row r="22">
      <c r="A22" s="2" t="inlineStr">
        <is>
          <t>The comparator storage of 0.41 (R7 / R10)</t>
        </is>
      </c>
      <c r="B22" s="2" t="inlineStr">
        <is>
          <t>a flip in each of the twelve registers 0.41's synchronous reads added behind the comparators (the port-B address latches, inb_q, a0_q, first_oq, w_load_q, ra0_q, the accumulate's stage-0 control)</t>
        </is>
      </c>
      <c r="C22" s="2" t="inlineStr">
        <is>
          <t>C6</t>
        </is>
      </c>
      <c r="D22" s="2" t="inlineStr">
        <is>
          <t>dv/cocotb (cocotb core)</t>
        </is>
      </c>
      <c r="E22" s="2" t="inlineStr">
        <is>
          <t>0.43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2026-10-13T07:18:25Z</dcterms:created>
  <dcterms:modified xmlns:dcterms="http://purl.org/dc/terms/" xmlns:xsi="http://www.w3.org/2001/XMLSchema-instance" xsi:type="dcterms:W3CDTF">2026-10-13T07:18:25Z</dcterms:modified>
</cp:coreProperties>
</file>